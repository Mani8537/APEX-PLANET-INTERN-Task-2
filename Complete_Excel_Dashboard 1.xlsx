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C319B720-1622-46E3-8C48-3C5E2C93BF33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Data" sheetId="1" r:id="rId1"/>
    <sheet name="Dashboard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  <c r="C4" i="3"/>
  <c r="C3" i="3"/>
  <c r="C2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<sst xmlns="http://schemas.openxmlformats.org/spreadsheetml/2006/main" count="3169" uniqueCount="575">
  <si>
    <t>Order_ID</t>
  </si>
  <si>
    <t>Customer_ID</t>
  </si>
  <si>
    <t>Customer_Age</t>
  </si>
  <si>
    <t>Gender</t>
  </si>
  <si>
    <t>City</t>
  </si>
  <si>
    <t>Product_Category</t>
  </si>
  <si>
    <t>Product_Name</t>
  </si>
  <si>
    <t>Quantity</t>
  </si>
  <si>
    <t>Unit_Price</t>
  </si>
  <si>
    <t>Total_Amount</t>
  </si>
  <si>
    <t>Payment_Method</t>
  </si>
  <si>
    <t>Rating</t>
  </si>
  <si>
    <t>Order_Date</t>
  </si>
  <si>
    <t>Male</t>
  </si>
  <si>
    <t>Delhi</t>
  </si>
  <si>
    <t>Home Appliances</t>
  </si>
  <si>
    <t>Smartphone</t>
  </si>
  <si>
    <t>Cash</t>
  </si>
  <si>
    <t>2024-01-01 00:00:00.000000000</t>
  </si>
  <si>
    <t>Female</t>
  </si>
  <si>
    <t>Chennai</t>
  </si>
  <si>
    <t>Beauty</t>
  </si>
  <si>
    <t>Debit Card</t>
  </si>
  <si>
    <t>2024-01-01 16:52:43.005780346</t>
  </si>
  <si>
    <t>Books</t>
  </si>
  <si>
    <t>Cookware</t>
  </si>
  <si>
    <t>UPI</t>
  </si>
  <si>
    <t>2024-01-02 09:45:26.011560693</t>
  </si>
  <si>
    <t>Novel</t>
  </si>
  <si>
    <t>2024-01-03 02:38:09.017341040</t>
  </si>
  <si>
    <t>Kolkata</t>
  </si>
  <si>
    <t>Clothing</t>
  </si>
  <si>
    <t>Cricket Bat</t>
  </si>
  <si>
    <t>2024-01-03 19:30:52.023121387</t>
  </si>
  <si>
    <t>Net Banking</t>
  </si>
  <si>
    <t>2024-01-04 12:23:35.028901734</t>
  </si>
  <si>
    <t>Hyderabad</t>
  </si>
  <si>
    <t>2024-01-05 05:16:18.034682080</t>
  </si>
  <si>
    <t>Electronics</t>
  </si>
  <si>
    <t>Credit Card</t>
  </si>
  <si>
    <t>2024-01-05 22:09:01.040462427</t>
  </si>
  <si>
    <t>Headphones</t>
  </si>
  <si>
    <t>2024-01-06 15:01:44.046242774</t>
  </si>
  <si>
    <t>Mumbai</t>
  </si>
  <si>
    <t>Laptop</t>
  </si>
  <si>
    <t>2024-01-07 07:54:27.052023121</t>
  </si>
  <si>
    <t>2024-01-08 00:47:10.057803468</t>
  </si>
  <si>
    <t>2024-01-08 17:39:53.063583815</t>
  </si>
  <si>
    <t>2024-01-09 10:32:36.069364161</t>
  </si>
  <si>
    <t>2024-01-10 03:25:19.075144508</t>
  </si>
  <si>
    <t>Sports</t>
  </si>
  <si>
    <t>2024-01-10 20:18:02.080924855</t>
  </si>
  <si>
    <t>2024-01-11 13:10:45.086705202</t>
  </si>
  <si>
    <t>Pune</t>
  </si>
  <si>
    <t>2024-01-12 06:03:28.092485549</t>
  </si>
  <si>
    <t>Bangalore</t>
  </si>
  <si>
    <t>Skincare Kit</t>
  </si>
  <si>
    <t>2024-01-12 22:56:11.098265896</t>
  </si>
  <si>
    <t>2024-01-13 15:48:54.104046242</t>
  </si>
  <si>
    <t>2024-01-14 08:41:37.109826589</t>
  </si>
  <si>
    <t>T-Shirt</t>
  </si>
  <si>
    <t>2024-01-15 01:34:20.115606936</t>
  </si>
  <si>
    <t>Microwave</t>
  </si>
  <si>
    <t>2024-01-15 18:27:03.121387283</t>
  </si>
  <si>
    <t>2024-01-16 11:19:46.127167630</t>
  </si>
  <si>
    <t>2024-01-17 04:12:29.132947976</t>
  </si>
  <si>
    <t>2024-01-17 21:05:12.138728323</t>
  </si>
  <si>
    <t>2024-01-18 13:57:55.144508670</t>
  </si>
  <si>
    <t>2024-01-19 06:50:38.150289017</t>
  </si>
  <si>
    <t>Running Shoes</t>
  </si>
  <si>
    <t>2024-01-19 23:43:21.156069364</t>
  </si>
  <si>
    <t>2024-01-20 16:36:04.161849711</t>
  </si>
  <si>
    <t>2024-01-21 09:28:47.167630057</t>
  </si>
  <si>
    <t>2024-01-22 02:21:30.173410404</t>
  </si>
  <si>
    <t>2024-01-22 19:14:13.179190751</t>
  </si>
  <si>
    <t>2024-01-23 12:06:56.184971098</t>
  </si>
  <si>
    <t>2024-01-24 04:59:39.190751445</t>
  </si>
  <si>
    <t>2024-01-24 21:52:22.196531792</t>
  </si>
  <si>
    <t>2024-01-25 14:45:05.202312138</t>
  </si>
  <si>
    <t>2024-01-26 07:37:48.208092485</t>
  </si>
  <si>
    <t>2024-01-27 00:30:31.213872832</t>
  </si>
  <si>
    <t>2024-01-27 17:23:14.219653179</t>
  </si>
  <si>
    <t>2024-01-28 10:15:57.225433526</t>
  </si>
  <si>
    <t>2024-01-29 03:08:40.231213873</t>
  </si>
  <si>
    <t>2024-01-29 20:01:23.236994219</t>
  </si>
  <si>
    <t>2024-01-30 12:54:06.242774566</t>
  </si>
  <si>
    <t>2024-01-31 05:46:49.248554913</t>
  </si>
  <si>
    <t>2024-01-31 22:39:32.254335260</t>
  </si>
  <si>
    <t>2024-02-01 15:32:15.260115607</t>
  </si>
  <si>
    <t>2024-02-02 08:24:58.265895953</t>
  </si>
  <si>
    <t>2024-02-03 01:17:41.271676300</t>
  </si>
  <si>
    <t>2024-02-03 18:10:24.277456647</t>
  </si>
  <si>
    <t>2024-02-04 11:03:07.283236994</t>
  </si>
  <si>
    <t>2024-02-05 03:55:50.289017341</t>
  </si>
  <si>
    <t>2024-02-05 20:48:33.294797688</t>
  </si>
  <si>
    <t>2024-02-06 13:41:16.300578034</t>
  </si>
  <si>
    <t>2024-02-07 06:33:59.306358381</t>
  </si>
  <si>
    <t>2024-02-07 23:26:42.312138728</t>
  </si>
  <si>
    <t>2024-02-08 16:19:25.317919075</t>
  </si>
  <si>
    <t>2024-02-09 09:12:08.323699422</t>
  </si>
  <si>
    <t>2024-02-10 02:04:51.329479769</t>
  </si>
  <si>
    <t>2024-02-10 18:57:34.335260115</t>
  </si>
  <si>
    <t>2024-02-11 11:50:17.341040462</t>
  </si>
  <si>
    <t>2024-02-12 04:43:00.346820809</t>
  </si>
  <si>
    <t>2024-02-12 21:35:43.352601156</t>
  </si>
  <si>
    <t>2024-02-13 14:28:26.358381503</t>
  </si>
  <si>
    <t>2024-02-14 07:21:09.364161849</t>
  </si>
  <si>
    <t>2024-02-15 00:13:52.369942196</t>
  </si>
  <si>
    <t>2024-02-15 17:06:35.375722543</t>
  </si>
  <si>
    <t>2024-02-16 09:59:18.381502890</t>
  </si>
  <si>
    <t>2024-02-17 02:52:01.387283237</t>
  </si>
  <si>
    <t>2024-02-17 19:44:44.393063584</t>
  </si>
  <si>
    <t>2024-02-18 12:37:27.398843930</t>
  </si>
  <si>
    <t>2024-02-19 05:30:10.404624277</t>
  </si>
  <si>
    <t>2024-02-19 22:22:53.410404624</t>
  </si>
  <si>
    <t>2024-02-20 15:15:36.416184971</t>
  </si>
  <si>
    <t>2024-02-21 08:08:19.421965318</t>
  </si>
  <si>
    <t>2024-02-22 01:01:02.427745664</t>
  </si>
  <si>
    <t>2024-02-22 17:53:45.433526012</t>
  </si>
  <si>
    <t>2024-02-23 10:46:28.439306358</t>
  </si>
  <si>
    <t>2024-02-24 03:39:11.445086705</t>
  </si>
  <si>
    <t>2024-02-24 20:31:54.450867052</t>
  </si>
  <si>
    <t>2024-02-25 13:24:37.456647399</t>
  </si>
  <si>
    <t>2024-02-26 06:17:20.462427746</t>
  </si>
  <si>
    <t>2024-02-26 23:10:03.468208092</t>
  </si>
  <si>
    <t>2024-02-27 16:02:46.473988439</t>
  </si>
  <si>
    <t>2024-02-28 08:55:29.479768786</t>
  </si>
  <si>
    <t>2024-02-29 01:48:12.485549133</t>
  </si>
  <si>
    <t>2024-02-29 18:40:55.491329480</t>
  </si>
  <si>
    <t>2024-03-01 11:33:38.497109827</t>
  </si>
  <si>
    <t>2024-03-02 04:26:21.502890173</t>
  </si>
  <si>
    <t>2024-03-02 21:19:04.508670520</t>
  </si>
  <si>
    <t>2024-03-03 14:11:47.514450867</t>
  </si>
  <si>
    <t>2024-03-04 07:04:30.520231214</t>
  </si>
  <si>
    <t>2024-03-04 23:57:13.526011561</t>
  </si>
  <si>
    <t>2024-03-05 16:49:56.531791907</t>
  </si>
  <si>
    <t>2024-03-06 09:42:39.537572254</t>
  </si>
  <si>
    <t>2024-03-07 02:35:22.543352601</t>
  </si>
  <si>
    <t>2024-03-07 19:28:05.549132948</t>
  </si>
  <si>
    <t>2024-03-08 12:20:48.554913295</t>
  </si>
  <si>
    <t>2024-03-09 05:13:31.560693642</t>
  </si>
  <si>
    <t>2024-03-09 22:06:14.566473988</t>
  </si>
  <si>
    <t>2024-03-10 14:58:57.572254335</t>
  </si>
  <si>
    <t>2024-03-11 07:51:40.578034682</t>
  </si>
  <si>
    <t>2024-03-12 00:44:23.583815029</t>
  </si>
  <si>
    <t>2024-03-12 17:37:06.589595376</t>
  </si>
  <si>
    <t>2024-03-13 10:29:49.595375722</t>
  </si>
  <si>
    <t>2024-03-14 03:22:32.601156069</t>
  </si>
  <si>
    <t>2024-03-14 20:15:15.606936416</t>
  </si>
  <si>
    <t>2024-03-15 13:07:58.612716763</t>
  </si>
  <si>
    <t>2024-03-16 06:00:41.618497110</t>
  </si>
  <si>
    <t>2024-03-16 22:53:24.624277457</t>
  </si>
  <si>
    <t>2024-03-17 15:46:07.630057803</t>
  </si>
  <si>
    <t>2024-03-18 08:38:50.635838150</t>
  </si>
  <si>
    <t>2024-03-19 01:31:33.641618497</t>
  </si>
  <si>
    <t>2024-03-19 18:24:16.647398844</t>
  </si>
  <si>
    <t>2024-03-20 11:16:59.653179191</t>
  </si>
  <si>
    <t>2024-03-21 04:09:42.658959538</t>
  </si>
  <si>
    <t>2024-03-21 21:02:25.664739884</t>
  </si>
  <si>
    <t>2024-03-22 13:55:08.670520231</t>
  </si>
  <si>
    <t>2024-03-23 06:47:51.676300578</t>
  </si>
  <si>
    <t>2024-03-23 23:40:34.682080925</t>
  </si>
  <si>
    <t>2024-03-24 16:33:17.687861272</t>
  </si>
  <si>
    <t>2024-03-25 09:26:00.693641618</t>
  </si>
  <si>
    <t>2024-03-26 02:18:43.699421965</t>
  </si>
  <si>
    <t>2024-03-26 19:11:26.705202312</t>
  </si>
  <si>
    <t>2024-03-27 12:04:09.710982659</t>
  </si>
  <si>
    <t>2024-03-28 04:56:52.716763006</t>
  </si>
  <si>
    <t>2024-03-28 21:49:35.722543353</t>
  </si>
  <si>
    <t>2024-03-29 14:42:18.728323699</t>
  </si>
  <si>
    <t>2024-03-30 07:35:01.734104046</t>
  </si>
  <si>
    <t>2024-03-31 00:27:44.739884393</t>
  </si>
  <si>
    <t>2024-03-31 17:20:27.745664740</t>
  </si>
  <si>
    <t>2024-04-01 10:13:10.751445087</t>
  </si>
  <si>
    <t>2024-04-02 03:05:53.757225433</t>
  </si>
  <si>
    <t>2024-04-02 19:58:36.763005780</t>
  </si>
  <si>
    <t>2024-04-03 12:51:19.768786127</t>
  </si>
  <si>
    <t>2024-04-04 05:44:02.774566474</t>
  </si>
  <si>
    <t>2024-04-04 22:36:45.780346821</t>
  </si>
  <si>
    <t>2024-04-05 15:29:28.786127168</t>
  </si>
  <si>
    <t>2024-04-06 08:22:11.791907514</t>
  </si>
  <si>
    <t>2024-04-07 01:14:54.797687861</t>
  </si>
  <si>
    <t>2024-04-07 18:07:37.803468208</t>
  </si>
  <si>
    <t>2024-04-08 11:00:20.809248555</t>
  </si>
  <si>
    <t>2024-04-09 03:53:03.815028902</t>
  </si>
  <si>
    <t>2024-04-09 20:45:46.820809248</t>
  </si>
  <si>
    <t>2024-04-10 13:38:29.826589595</t>
  </si>
  <si>
    <t>2024-04-11 06:31:12.832369942</t>
  </si>
  <si>
    <t>2024-04-11 23:23:55.838150289</t>
  </si>
  <si>
    <t>2024-04-12 16:16:38.843930636</t>
  </si>
  <si>
    <t>2024-04-13 09:09:21.849710983</t>
  </si>
  <si>
    <t>2024-04-14 02:02:04.855491329</t>
  </si>
  <si>
    <t>2024-04-14 18:54:47.861271676</t>
  </si>
  <si>
    <t>2024-04-15 11:47:30.867052024</t>
  </si>
  <si>
    <t>2024-04-16 04:40:13.872832370</t>
  </si>
  <si>
    <t>2024-04-16 21:32:56.878612716</t>
  </si>
  <si>
    <t>2024-04-17 14:25:39.884393064</t>
  </si>
  <si>
    <t>2024-04-18 07:18:22.890173410</t>
  </si>
  <si>
    <t>2024-04-19 00:11:05.895953758</t>
  </si>
  <si>
    <t>2024-04-19 17:03:48.901734104</t>
  </si>
  <si>
    <t>2024-04-20 09:56:31.907514450</t>
  </si>
  <si>
    <t>2024-04-21 02:49:14.913294798</t>
  </si>
  <si>
    <t>2024-04-21 19:41:57.919075144</t>
  </si>
  <si>
    <t>2024-04-22 12:34:40.924855492</t>
  </si>
  <si>
    <t>2024-04-23 05:27:23.930635838</t>
  </si>
  <si>
    <t>2024-04-23 22:20:06.936416184</t>
  </si>
  <si>
    <t>2024-04-24 15:12:49.942196532</t>
  </si>
  <si>
    <t>2024-04-25 08:05:32.947976878</t>
  </si>
  <si>
    <t>2024-04-26 00:58:15.953757226</t>
  </si>
  <si>
    <t>2024-04-26 17:50:58.959537572</t>
  </si>
  <si>
    <t>2024-04-27 10:43:41.965317918</t>
  </si>
  <si>
    <t>2024-04-28 03:36:24.971098266</t>
  </si>
  <si>
    <t>2024-04-28 20:29:07.976878612</t>
  </si>
  <si>
    <t>2024-04-29 13:21:50.982658960</t>
  </si>
  <si>
    <t>2024-04-30 06:14:33.988439306</t>
  </si>
  <si>
    <t>2024-04-30 23:07:16.994219654</t>
  </si>
  <si>
    <t>2024-05-01 16:00:00.000000000</t>
  </si>
  <si>
    <t>2024-05-02 08:52:43.005780346</t>
  </si>
  <si>
    <t>2024-05-03 01:45:26.011560694</t>
  </si>
  <si>
    <t>2024-05-03 18:38:09.017341040</t>
  </si>
  <si>
    <t>2024-05-04 11:30:52.023121388</t>
  </si>
  <si>
    <t>2024-05-05 04:23:35.028901734</t>
  </si>
  <si>
    <t>2024-05-05 21:16:18.034682080</t>
  </si>
  <si>
    <t>2024-05-06 14:09:01.040462428</t>
  </si>
  <si>
    <t>2024-05-07 07:01:44.046242774</t>
  </si>
  <si>
    <t>2024-05-07 23:54:27.052023122</t>
  </si>
  <si>
    <t>2024-05-08 16:47:10.057803468</t>
  </si>
  <si>
    <t>2024-05-09 09:39:53.063583814</t>
  </si>
  <si>
    <t>2024-05-10 02:32:36.069364162</t>
  </si>
  <si>
    <t>2024-05-10 19:25:19.075144508</t>
  </si>
  <si>
    <t>2024-05-11 12:18:02.080924856</t>
  </si>
  <si>
    <t>2024-05-12 05:10:45.086705202</t>
  </si>
  <si>
    <t>2024-05-12 22:03:28.092485550</t>
  </si>
  <si>
    <t>2024-05-13 14:56:11.098265896</t>
  </si>
  <si>
    <t>2024-05-14 07:48:54.104046242</t>
  </si>
  <si>
    <t>2024-05-15 00:41:37.109826590</t>
  </si>
  <si>
    <t>2024-05-15 17:34:20.115606936</t>
  </si>
  <si>
    <t>2024-05-16 10:27:03.121387284</t>
  </si>
  <si>
    <t>2024-05-17 03:19:46.127167630</t>
  </si>
  <si>
    <t>2024-05-17 20:12:29.132947976</t>
  </si>
  <si>
    <t>2024-05-18 13:05:12.138728324</t>
  </si>
  <si>
    <t>2024-05-19 05:57:55.144508670</t>
  </si>
  <si>
    <t>2024-05-19 22:50:38.150289018</t>
  </si>
  <si>
    <t>2024-05-20 15:43:21.156069364</t>
  </si>
  <si>
    <t>2024-05-21 08:36:04.161849710</t>
  </si>
  <si>
    <t>2024-05-22 01:28:47.167630058</t>
  </si>
  <si>
    <t>2024-05-22 18:21:30.173410404</t>
  </si>
  <si>
    <t>2024-05-23 11:14:13.179190752</t>
  </si>
  <si>
    <t>2024-05-24 04:06:56.184971098</t>
  </si>
  <si>
    <t>2024-05-24 20:59:39.190751444</t>
  </si>
  <si>
    <t>2024-05-25 13:52:22.196531792</t>
  </si>
  <si>
    <t>2024-05-26 06:45:05.202312138</t>
  </si>
  <si>
    <t>2024-05-26 23:37:48.208092486</t>
  </si>
  <si>
    <t>2024-05-27 16:30:31.213872832</t>
  </si>
  <si>
    <t>2024-05-28 09:23:14.219653180</t>
  </si>
  <si>
    <t>2024-05-29 02:15:57.225433526</t>
  </si>
  <si>
    <t>2024-05-29 19:08:40.231213872</t>
  </si>
  <si>
    <t>2024-05-30 12:01:23.236994220</t>
  </si>
  <si>
    <t>2024-05-31 04:54:06.242774566</t>
  </si>
  <si>
    <t>2024-05-31 21:46:49.248554914</t>
  </si>
  <si>
    <t>2024-06-01 14:39:32.254335260</t>
  </si>
  <si>
    <t>2024-06-02 07:32:15.260115606</t>
  </si>
  <si>
    <t>2024-06-03 00:24:58.265895954</t>
  </si>
  <si>
    <t>2024-06-03 17:17:41.271676300</t>
  </si>
  <si>
    <t>2024-06-04 10:10:24.277456648</t>
  </si>
  <si>
    <t>2024-06-05 03:03:07.283236994</t>
  </si>
  <si>
    <t>2024-06-05 19:55:50.289017340</t>
  </si>
  <si>
    <t>2024-06-06 12:48:33.294797688</t>
  </si>
  <si>
    <t>2024-06-07 05:41:16.300578034</t>
  </si>
  <si>
    <t>2024-06-07 22:33:59.306358382</t>
  </si>
  <si>
    <t>2024-06-08 15:26:42.312138728</t>
  </si>
  <si>
    <t>2024-06-09 08:19:25.317919076</t>
  </si>
  <si>
    <t>2024-06-10 01:12:08.323699422</t>
  </si>
  <si>
    <t>2024-06-10 18:04:51.329479768</t>
  </si>
  <si>
    <t>2024-06-11 10:57:34.335260116</t>
  </si>
  <si>
    <t>2024-06-12 03:50:17.341040462</t>
  </si>
  <si>
    <t>2024-06-12 20:43:00.346820810</t>
  </si>
  <si>
    <t>2024-06-13 13:35:43.352601156</t>
  </si>
  <si>
    <t>2024-06-14 06:28:26.358381502</t>
  </si>
  <si>
    <t>2024-06-14 23:21:09.364161850</t>
  </si>
  <si>
    <t>2024-06-15 16:13:52.369942196</t>
  </si>
  <si>
    <t>2024-06-16 09:06:35.375722544</t>
  </si>
  <si>
    <t>2024-06-17 01:59:18.381502890</t>
  </si>
  <si>
    <t>2024-06-17 18:52:01.387283236</t>
  </si>
  <si>
    <t>2024-06-18 11:44:44.393063584</t>
  </si>
  <si>
    <t>2024-06-19 04:37:27.398843930</t>
  </si>
  <si>
    <t>2024-06-19 21:30:10.404624278</t>
  </si>
  <si>
    <t>2024-06-20 14:22:53.410404624</t>
  </si>
  <si>
    <t>2024-06-21 07:15:36.416184970</t>
  </si>
  <si>
    <t>2024-06-22 00:08:19.421965318</t>
  </si>
  <si>
    <t>2024-06-22 17:01:02.427745664</t>
  </si>
  <si>
    <t>2024-06-23 09:53:45.433526012</t>
  </si>
  <si>
    <t>2024-06-24 02:46:28.439306358</t>
  </si>
  <si>
    <t>2024-06-24 19:39:11.445086706</t>
  </si>
  <si>
    <t>2024-06-25 12:31:54.450867052</t>
  </si>
  <si>
    <t>2024-06-26 05:24:37.456647398</t>
  </si>
  <si>
    <t>2024-06-26 22:17:20.462427746</t>
  </si>
  <si>
    <t>2024-06-27 15:10:03.468208092</t>
  </si>
  <si>
    <t>2024-06-28 08:02:46.473988440</t>
  </si>
  <si>
    <t>2024-06-29 00:55:29.479768786</t>
  </si>
  <si>
    <t>2024-06-29 17:48:12.485549132</t>
  </si>
  <si>
    <t>2024-06-30 10:40:55.491329480</t>
  </si>
  <si>
    <t>2024-07-01 03:33:38.497109826</t>
  </si>
  <si>
    <t>2024-07-01 20:26:21.502890174</t>
  </si>
  <si>
    <t>2024-07-02 13:19:04.508670520</t>
  </si>
  <si>
    <t>2024-07-03 06:11:47.514450866</t>
  </si>
  <si>
    <t>2024-07-03 23:04:30.520231214</t>
  </si>
  <si>
    <t>2024-07-04 15:57:13.526011560</t>
  </si>
  <si>
    <t>2024-07-05 08:49:56.531791908</t>
  </si>
  <si>
    <t>2024-07-06 01:42:39.537572254</t>
  </si>
  <si>
    <t>2024-07-06 18:35:22.543352602</t>
  </si>
  <si>
    <t>2024-07-07 11:28:05.549132948</t>
  </si>
  <si>
    <t>2024-07-08 04:20:48.554913294</t>
  </si>
  <si>
    <t>2024-07-08 21:13:31.560693642</t>
  </si>
  <si>
    <t>2024-07-09 14:06:14.566473988</t>
  </si>
  <si>
    <t>2024-07-10 06:58:57.572254336</t>
  </si>
  <si>
    <t>2024-07-10 23:51:40.578034682</t>
  </si>
  <si>
    <t>2024-07-11 16:44:23.583815028</t>
  </si>
  <si>
    <t>2024-07-12 09:37:06.589595376</t>
  </si>
  <si>
    <t>2024-07-13 02:29:49.595375722</t>
  </si>
  <si>
    <t>2024-07-13 19:22:32.601156070</t>
  </si>
  <si>
    <t>2024-07-14 12:15:15.606936416</t>
  </si>
  <si>
    <t>2024-07-15 05:07:58.612716762</t>
  </si>
  <si>
    <t>2024-07-15 22:00:41.618497110</t>
  </si>
  <si>
    <t>2024-07-16 14:53:24.624277456</t>
  </si>
  <si>
    <t>2024-07-17 07:46:07.630057804</t>
  </si>
  <si>
    <t>2024-07-18 00:38:50.635838150</t>
  </si>
  <si>
    <t>2024-07-18 17:31:33.641618496</t>
  </si>
  <si>
    <t>2024-07-19 10:24:16.647398844</t>
  </si>
  <si>
    <t>2024-07-20 03:16:59.653179190</t>
  </si>
  <si>
    <t>2024-07-20 20:09:42.658959538</t>
  </si>
  <si>
    <t>2024-07-21 13:02:25.664739884</t>
  </si>
  <si>
    <t>2024-07-22 05:55:08.670520232</t>
  </si>
  <si>
    <t>2024-07-22 22:47:51.676300578</t>
  </si>
  <si>
    <t>2024-07-23 15:40:34.682080924</t>
  </si>
  <si>
    <t>2024-07-24 08:33:17.687861272</t>
  </si>
  <si>
    <t>2024-07-25 01:26:00.693641618</t>
  </si>
  <si>
    <t>2024-07-25 18:18:43.699421966</t>
  </si>
  <si>
    <t>2024-07-26 11:11:26.705202312</t>
  </si>
  <si>
    <t>2024-07-27 04:04:09.710982658</t>
  </si>
  <si>
    <t>2024-07-27 20:56:52.716763004</t>
  </si>
  <si>
    <t>2024-07-28 13:49:35.722543352</t>
  </si>
  <si>
    <t>2024-07-29 06:42:18.728323700</t>
  </si>
  <si>
    <t>2024-07-29 23:35:01.734104048</t>
  </si>
  <si>
    <t>2024-07-30 16:27:44.739884392</t>
  </si>
  <si>
    <t>2024-07-31 09:20:27.745664740</t>
  </si>
  <si>
    <t>2024-08-01 02:13:10.751445088</t>
  </si>
  <si>
    <t>2024-08-01 19:05:53.757225432</t>
  </si>
  <si>
    <t>2024-08-02 11:58:36.763005780</t>
  </si>
  <si>
    <t>2024-08-03 04:51:19.768786128</t>
  </si>
  <si>
    <t>2024-08-03 21:44:02.774566472</t>
  </si>
  <si>
    <t>2024-08-04 14:36:45.780346820</t>
  </si>
  <si>
    <t>2024-08-05 07:29:28.786127168</t>
  </si>
  <si>
    <t>2024-08-06 00:22:11.791907516</t>
  </si>
  <si>
    <t>2024-08-06 17:14:54.797687860</t>
  </si>
  <si>
    <t>2024-08-07 10:07:37.803468208</t>
  </si>
  <si>
    <t>2024-08-08 03:00:20.809248556</t>
  </si>
  <si>
    <t>2024-08-08 19:53:03.815028900</t>
  </si>
  <si>
    <t>2024-08-09 12:45:46.820809248</t>
  </si>
  <si>
    <t>2024-08-10 05:38:29.826589596</t>
  </si>
  <si>
    <t>2024-08-10 22:31:12.832369944</t>
  </si>
  <si>
    <t>2024-08-11 15:23:55.838150288</t>
  </si>
  <si>
    <t>2024-08-12 08:16:38.843930636</t>
  </si>
  <si>
    <t>2024-08-13 01:09:21.849710984</t>
  </si>
  <si>
    <t>2024-08-13 18:02:04.855491328</t>
  </si>
  <si>
    <t>2024-08-14 10:54:47.861271676</t>
  </si>
  <si>
    <t>2024-08-15 03:47:30.867052024</t>
  </si>
  <si>
    <t>2024-08-15 20:40:13.872832368</t>
  </si>
  <si>
    <t>2024-08-16 13:32:56.878612716</t>
  </si>
  <si>
    <t>2024-08-17 06:25:39.884393064</t>
  </si>
  <si>
    <t>2024-08-17 23:18:22.890173412</t>
  </si>
  <si>
    <t>2024-08-18 16:11:05.895953756</t>
  </si>
  <si>
    <t>2024-08-19 09:03:48.901734104</t>
  </si>
  <si>
    <t>2024-08-20 01:56:31.907514452</t>
  </si>
  <si>
    <t>2024-08-20 18:49:14.913294796</t>
  </si>
  <si>
    <t>2024-08-21 11:41:57.919075144</t>
  </si>
  <si>
    <t>2024-08-22 04:34:40.924855492</t>
  </si>
  <si>
    <t>2024-08-22 21:27:23.930635836</t>
  </si>
  <si>
    <t>2024-08-23 14:20:06.936416184</t>
  </si>
  <si>
    <t>2024-08-24 07:12:49.942196532</t>
  </si>
  <si>
    <t>2024-08-25 00:05:32.947976880</t>
  </si>
  <si>
    <t>2024-08-25 16:58:15.953757224</t>
  </si>
  <si>
    <t>2024-08-26 09:50:58.959537572</t>
  </si>
  <si>
    <t>2024-08-27 02:43:41.965317920</t>
  </si>
  <si>
    <t>2024-08-27 19:36:24.971098264</t>
  </si>
  <si>
    <t>2024-08-28 12:29:07.976878612</t>
  </si>
  <si>
    <t>2024-08-29 05:21:50.982658960</t>
  </si>
  <si>
    <t>2024-08-29 22:14:33.988439308</t>
  </si>
  <si>
    <t>2024-08-30 15:07:16.994219652</t>
  </si>
  <si>
    <t>2024-08-31 08:00:00.000000000</t>
  </si>
  <si>
    <t>2024-09-01 00:52:43.005780348</t>
  </si>
  <si>
    <t>2024-09-01 17:45:26.011560692</t>
  </si>
  <si>
    <t>2024-09-02 10:38:09.017341040</t>
  </si>
  <si>
    <t>2024-09-03 03:30:52.023121388</t>
  </si>
  <si>
    <t>2024-09-03 20:23:35.028901732</t>
  </si>
  <si>
    <t>2024-09-04 13:16:18.034682080</t>
  </si>
  <si>
    <t>2024-09-05 06:09:01.040462428</t>
  </si>
  <si>
    <t>2024-09-05 23:01:44.046242776</t>
  </si>
  <si>
    <t>2024-09-06 15:54:27.052023120</t>
  </si>
  <si>
    <t>2024-09-07 08:47:10.057803468</t>
  </si>
  <si>
    <t>2024-09-08 01:39:53.063583816</t>
  </si>
  <si>
    <t>2024-09-08 18:32:36.069364160</t>
  </si>
  <si>
    <t>2024-09-09 11:25:19.075144508</t>
  </si>
  <si>
    <t>2024-09-10 04:18:02.080924856</t>
  </si>
  <si>
    <t>2024-09-10 21:10:45.086705204</t>
  </si>
  <si>
    <t>2024-09-11 14:03:28.092485548</t>
  </si>
  <si>
    <t>2024-09-12 06:56:11.098265896</t>
  </si>
  <si>
    <t>2024-09-12 23:48:54.104046244</t>
  </si>
  <si>
    <t>2024-09-13 16:41:37.109826588</t>
  </si>
  <si>
    <t>2024-09-14 09:34:20.115606936</t>
  </si>
  <si>
    <t>2024-09-15 02:27:03.121387284</t>
  </si>
  <si>
    <t>2024-09-15 19:19:46.127167628</t>
  </si>
  <si>
    <t>2024-09-16 12:12:29.132947976</t>
  </si>
  <si>
    <t>2024-09-17 05:05:12.138728324</t>
  </si>
  <si>
    <t>2024-09-17 21:57:55.144508672</t>
  </si>
  <si>
    <t>2024-09-18 14:50:38.150289016</t>
  </si>
  <si>
    <t>2024-09-19 07:43:21.156069364</t>
  </si>
  <si>
    <t>2024-09-20 00:36:04.161849712</t>
  </si>
  <si>
    <t>2024-09-20 17:28:47.167630056</t>
  </si>
  <si>
    <t>2024-09-21 10:21:30.173410404</t>
  </si>
  <si>
    <t>2024-09-22 03:14:13.179190752</t>
  </si>
  <si>
    <t>2024-09-22 20:06:56.184971100</t>
  </si>
  <si>
    <t>2024-09-23 12:59:39.190751444</t>
  </si>
  <si>
    <t>2024-09-24 05:52:22.196531792</t>
  </si>
  <si>
    <t>2024-09-24 22:45:05.202312140</t>
  </si>
  <si>
    <t>2024-09-25 15:37:48.208092484</t>
  </si>
  <si>
    <t>2024-09-26 08:30:31.213872832</t>
  </si>
  <si>
    <t>2024-09-27 01:23:14.219653180</t>
  </si>
  <si>
    <t>2024-09-27 18:15:57.225433524</t>
  </si>
  <si>
    <t>2024-09-28 11:08:40.231213872</t>
  </si>
  <si>
    <t>2024-09-29 04:01:23.236994220</t>
  </si>
  <si>
    <t>2024-09-29 20:54:06.242774568</t>
  </si>
  <si>
    <t>2024-09-30 13:46:49.248554912</t>
  </si>
  <si>
    <t>2024-10-01 06:39:32.254335260</t>
  </si>
  <si>
    <t>2024-10-01 23:32:15.260115608</t>
  </si>
  <si>
    <t>2024-10-02 16:24:58.265895952</t>
  </si>
  <si>
    <t>2024-10-03 09:17:41.271676300</t>
  </si>
  <si>
    <t>2024-10-04 02:10:24.277456648</t>
  </si>
  <si>
    <t>2024-10-04 19:03:07.283236996</t>
  </si>
  <si>
    <t>2024-10-05 11:55:50.289017340</t>
  </si>
  <si>
    <t>2024-10-06 04:48:33.294797688</t>
  </si>
  <si>
    <t>2024-10-06 21:41:16.300578036</t>
  </si>
  <si>
    <t>2024-10-07 14:33:59.306358380</t>
  </si>
  <si>
    <t>2024-10-08 07:26:42.312138728</t>
  </si>
  <si>
    <t>2024-10-09 00:19:25.317919076</t>
  </si>
  <si>
    <t>2024-10-09 17:12:08.323699420</t>
  </si>
  <si>
    <t>2024-10-10 10:04:51.329479768</t>
  </si>
  <si>
    <t>2024-10-11 02:57:34.335260116</t>
  </si>
  <si>
    <t>2024-10-11 19:50:17.341040464</t>
  </si>
  <si>
    <t>2024-10-12 12:43:00.346820808</t>
  </si>
  <si>
    <t>2024-10-13 05:35:43.352601156</t>
  </si>
  <si>
    <t>2024-10-13 22:28:26.358381504</t>
  </si>
  <si>
    <t>2024-10-14 15:21:09.364161848</t>
  </si>
  <si>
    <t>2024-10-15 08:13:52.369942196</t>
  </si>
  <si>
    <t>2024-10-16 01:06:35.375722544</t>
  </si>
  <si>
    <t>2024-10-16 17:59:18.381502888</t>
  </si>
  <si>
    <t>2024-10-17 10:52:01.387283236</t>
  </si>
  <si>
    <t>2024-10-18 03:44:44.393063584</t>
  </si>
  <si>
    <t>2024-10-18 20:37:27.398843932</t>
  </si>
  <si>
    <t>2024-10-19 13:30:10.404624276</t>
  </si>
  <si>
    <t>2024-10-20 06:22:53.410404624</t>
  </si>
  <si>
    <t>2024-10-20 23:15:36.416184972</t>
  </si>
  <si>
    <t>2024-10-21 16:08:19.421965316</t>
  </si>
  <si>
    <t>2024-10-22 09:01:02.427745664</t>
  </si>
  <si>
    <t>2024-10-23 01:53:45.433526012</t>
  </si>
  <si>
    <t>2024-10-23 18:46:28.439306360</t>
  </si>
  <si>
    <t>2024-10-24 11:39:11.445086704</t>
  </si>
  <si>
    <t>2024-10-25 04:31:54.450867052</t>
  </si>
  <si>
    <t>2024-10-25 21:24:37.456647400</t>
  </si>
  <si>
    <t>2024-10-26 14:17:20.462427744</t>
  </si>
  <si>
    <t>2024-10-27 07:10:03.468208092</t>
  </si>
  <si>
    <t>2024-10-28 00:02:46.473988440</t>
  </si>
  <si>
    <t>2024-10-28 16:55:29.479768784</t>
  </si>
  <si>
    <t>2024-10-29 09:48:12.485549132</t>
  </si>
  <si>
    <t>2024-10-30 02:40:55.491329480</t>
  </si>
  <si>
    <t>2024-10-30 19:33:38.497109828</t>
  </si>
  <si>
    <t>2024-10-31 12:26:21.502890172</t>
  </si>
  <si>
    <t>2024-11-01 05:19:04.508670520</t>
  </si>
  <si>
    <t>2024-11-01 22:11:47.514450868</t>
  </si>
  <si>
    <t>2024-11-02 15:04:30.520231212</t>
  </si>
  <si>
    <t>2024-11-03 07:57:13.526011560</t>
  </si>
  <si>
    <t>2024-11-04 00:49:56.531791908</t>
  </si>
  <si>
    <t>2024-11-04 17:42:39.537572256</t>
  </si>
  <si>
    <t>2024-11-05 10:35:22.543352600</t>
  </si>
  <si>
    <t>2024-11-06 03:28:05.549132948</t>
  </si>
  <si>
    <t>2024-11-06 20:20:48.554913296</t>
  </si>
  <si>
    <t>2024-11-07 13:13:31.560693640</t>
  </si>
  <si>
    <t>2024-11-08 06:06:14.566473988</t>
  </si>
  <si>
    <t>2024-11-08 22:58:57.572254336</t>
  </si>
  <si>
    <t>2024-11-09 15:51:40.578034680</t>
  </si>
  <si>
    <t>2024-11-10 08:44:23.583815028</t>
  </si>
  <si>
    <t>2024-11-11 01:37:06.589595376</t>
  </si>
  <si>
    <t>2024-11-11 18:29:49.595375724</t>
  </si>
  <si>
    <t>2024-11-12 11:22:32.601156068</t>
  </si>
  <si>
    <t>2024-11-13 04:15:15.606936416</t>
  </si>
  <si>
    <t>2024-11-13 21:07:58.612716764</t>
  </si>
  <si>
    <t>2024-11-14 14:00:41.618497108</t>
  </si>
  <si>
    <t>2024-11-15 06:53:24.624277456</t>
  </si>
  <si>
    <t>2024-11-15 23:46:07.630057804</t>
  </si>
  <si>
    <t>2024-11-16 16:38:50.635838152</t>
  </si>
  <si>
    <t>2024-11-17 09:31:33.641618496</t>
  </si>
  <si>
    <t>2024-11-18 02:24:16.647398844</t>
  </si>
  <si>
    <t>2024-11-18 19:16:59.653179192</t>
  </si>
  <si>
    <t>2024-11-19 12:09:42.658959536</t>
  </si>
  <si>
    <t>2024-11-20 05:02:25.664739884</t>
  </si>
  <si>
    <t>2024-11-20 21:55:08.670520232</t>
  </si>
  <si>
    <t>2024-11-21 14:47:51.676300576</t>
  </si>
  <si>
    <t>2024-11-22 07:40:34.682080924</t>
  </si>
  <si>
    <t>2024-11-23 00:33:17.687861272</t>
  </si>
  <si>
    <t>2024-11-23 17:26:00.693641620</t>
  </si>
  <si>
    <t>2024-11-24 10:18:43.699421964</t>
  </si>
  <si>
    <t>2024-11-25 03:11:26.705202312</t>
  </si>
  <si>
    <t>2024-11-25 20:04:09.710982660</t>
  </si>
  <si>
    <t>2024-11-26 12:56:52.716763004</t>
  </si>
  <si>
    <t>2024-11-27 05:49:35.722543352</t>
  </si>
  <si>
    <t>2024-11-27 22:42:18.728323700</t>
  </si>
  <si>
    <t>2024-11-28 15:35:01.734104048</t>
  </si>
  <si>
    <t>2024-11-29 08:27:44.739884392</t>
  </si>
  <si>
    <t>2024-11-30 01:20:27.745664740</t>
  </si>
  <si>
    <t>2024-11-30 18:13:10.751445088</t>
  </si>
  <si>
    <t>2024-12-01 11:05:53.757225432</t>
  </si>
  <si>
    <t>2024-12-02 03:58:36.763005780</t>
  </si>
  <si>
    <t>2024-12-02 20:51:19.768786128</t>
  </si>
  <si>
    <t>2024-12-03 13:44:02.774566472</t>
  </si>
  <si>
    <t>2024-12-04 06:36:45.780346820</t>
  </si>
  <si>
    <t>2024-12-04 23:29:28.786127168</t>
  </si>
  <si>
    <t>2024-12-05 16:22:11.791907516</t>
  </si>
  <si>
    <t>2024-12-06 09:14:54.797687860</t>
  </si>
  <si>
    <t>2024-12-07 02:07:37.803468208</t>
  </si>
  <si>
    <t>2024-12-07 19:00:20.809248556</t>
  </si>
  <si>
    <t>2024-12-08 11:53:03.815028900</t>
  </si>
  <si>
    <t>2024-12-09 04:45:46.820809248</t>
  </si>
  <si>
    <t>2024-12-09 21:38:29.826589596</t>
  </si>
  <si>
    <t>2024-12-10 14:31:12.832369940</t>
  </si>
  <si>
    <t>2024-12-11 07:23:55.838150288</t>
  </si>
  <si>
    <t>2024-12-12 00:16:38.843930636</t>
  </si>
  <si>
    <t>2024-12-12 17:09:21.849710984</t>
  </si>
  <si>
    <t>2024-12-13 10:02:04.855491328</t>
  </si>
  <si>
    <t>2024-12-14 02:54:47.861271676</t>
  </si>
  <si>
    <t>2024-12-14 19:47:30.867052024</t>
  </si>
  <si>
    <t>2024-12-15 12:40:13.872832368</t>
  </si>
  <si>
    <t>2024-12-16 05:32:56.878612716</t>
  </si>
  <si>
    <t>2024-12-16 22:25:39.884393064</t>
  </si>
  <si>
    <t>2024-12-17 15:18:22.890173412</t>
  </si>
  <si>
    <t>2024-12-18 08:11:05.895953756</t>
  </si>
  <si>
    <t>2024-12-19 01:03:48.901734104</t>
  </si>
  <si>
    <t>2024-12-19 17:56:31.907514452</t>
  </si>
  <si>
    <t>2024-12-20 10:49:14.913294796</t>
  </si>
  <si>
    <t>2024-12-21 03:41:57.919075144</t>
  </si>
  <si>
    <t>2024-12-21 20:34:40.924855492</t>
  </si>
  <si>
    <t>2024-12-22 13:27:23.930635836</t>
  </si>
  <si>
    <t>2024-12-23 06:20:06.936416184</t>
  </si>
  <si>
    <t>2024-12-23 23:12:49.942196532</t>
  </si>
  <si>
    <t>2024-12-24 16:05:32.947976880</t>
  </si>
  <si>
    <t>2024-12-25 08:58:15.953757224</t>
  </si>
  <si>
    <t>2024-12-26 01:50:58.959537572</t>
  </si>
  <si>
    <t>2024-12-26 18:43:41.965317920</t>
  </si>
  <si>
    <t>2024-12-27 11:36:24.971098264</t>
  </si>
  <si>
    <t>2024-12-28 04:29:07.976878612</t>
  </si>
  <si>
    <t>2024-12-28 21:21:50.982658960</t>
  </si>
  <si>
    <t>2024-12-29 14:14:33.988439308</t>
  </si>
  <si>
    <t>2024-12-30 07:07:16.994219652</t>
  </si>
  <si>
    <t>2024-12-31 00:00:00.000000000</t>
  </si>
  <si>
    <t>Category</t>
  </si>
  <si>
    <t>Revenue</t>
  </si>
  <si>
    <t>Month</t>
  </si>
  <si>
    <t>Sales</t>
  </si>
  <si>
    <t>Product</t>
  </si>
  <si>
    <t>Metric</t>
  </si>
  <si>
    <t>Mean</t>
  </si>
  <si>
    <t>Median</t>
  </si>
  <si>
    <t>Minimum</t>
  </si>
  <si>
    <t>Maximum</t>
  </si>
  <si>
    <t>Std div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</si>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</sst>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Dashboard!$A$2:$A$7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Dashboard!$B$2:$B$7</c:f>
              <c:numCache>
                <c:formatCode>General</c:formatCode>
                <c:ptCount val="6"/>
                <c:pt idx="0">
                  <c:v>584856.81999999995</c:v>
                </c:pt>
                <c:pt idx="1">
                  <c:v>744461.19</c:v>
                </c:pt>
                <c:pt idx="2">
                  <c:v>791671.95</c:v>
                </c:pt>
                <c:pt idx="3">
                  <c:v>759099.75</c:v>
                </c:pt>
                <c:pt idx="4">
                  <c:v>495318.92</c:v>
                </c:pt>
                <c:pt idx="5">
                  <c:v>548763.11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8-408C-B509-06BBC86AA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Dashboard!B10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Dashboard!$A$11:$A$22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Dashboard!$B$11:$B$22</c:f>
              <c:numCache>
                <c:formatCode>General</c:formatCode>
                <c:ptCount val="12"/>
                <c:pt idx="0">
                  <c:v>299233.64</c:v>
                </c:pt>
                <c:pt idx="1">
                  <c:v>339132.82</c:v>
                </c:pt>
                <c:pt idx="2">
                  <c:v>303197.34999999998</c:v>
                </c:pt>
                <c:pt idx="3">
                  <c:v>338927.45</c:v>
                </c:pt>
                <c:pt idx="4">
                  <c:v>352083.64</c:v>
                </c:pt>
                <c:pt idx="5">
                  <c:v>311095.07</c:v>
                </c:pt>
                <c:pt idx="6">
                  <c:v>313868.2</c:v>
                </c:pt>
                <c:pt idx="7">
                  <c:v>317365.06</c:v>
                </c:pt>
                <c:pt idx="8">
                  <c:v>333063.51</c:v>
                </c:pt>
                <c:pt idx="9">
                  <c:v>321800.34999999998</c:v>
                </c:pt>
                <c:pt idx="10">
                  <c:v>312417.73</c:v>
                </c:pt>
                <c:pt idx="11">
                  <c:v>381986.92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67-4AED-9875-034AB11C9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City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Dashboard!B26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Dashboard!$A$27:$A$33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Dashboard!$B$27:$B$33</c:f>
              <c:numCache>
                <c:formatCode>General</c:formatCode>
                <c:ptCount val="7"/>
                <c:pt idx="0">
                  <c:v>543325.91</c:v>
                </c:pt>
                <c:pt idx="1">
                  <c:v>504240.49</c:v>
                </c:pt>
                <c:pt idx="2">
                  <c:v>526809.80999999994</c:v>
                </c:pt>
                <c:pt idx="3">
                  <c:v>546823.97</c:v>
                </c:pt>
                <c:pt idx="4">
                  <c:v>677267.55</c:v>
                </c:pt>
                <c:pt idx="5">
                  <c:v>603741.18999999994</c:v>
                </c:pt>
                <c:pt idx="6">
                  <c:v>521962.82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F-4702-9EAC-2EE1D7416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5 Products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Dashboard!B37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Dashboard!$A$38:$A$42</c:f>
              <c:strCache>
                <c:ptCount val="5"/>
                <c:pt idx="0">
                  <c:v>Novel</c:v>
                </c:pt>
                <c:pt idx="1">
                  <c:v>Cricket Bat</c:v>
                </c:pt>
                <c:pt idx="2">
                  <c:v>Laptop</c:v>
                </c:pt>
                <c:pt idx="3">
                  <c:v>Smartphone</c:v>
                </c:pt>
                <c:pt idx="4">
                  <c:v>Microwave</c:v>
                </c:pt>
              </c:strCache>
            </c:strRef>
          </c:cat>
          <c:val>
            <c:numRef>
              <c:f>Dashboard!$B$38:$B$42</c:f>
              <c:numCache>
                <c:formatCode>General</c:formatCode>
                <c:ptCount val="5"/>
                <c:pt idx="0">
                  <c:v>533284.46</c:v>
                </c:pt>
                <c:pt idx="1">
                  <c:v>460371.59</c:v>
                </c:pt>
                <c:pt idx="2">
                  <c:v>432618.81</c:v>
                </c:pt>
                <c:pt idx="3">
                  <c:v>402982.59</c:v>
                </c:pt>
                <c:pt idx="4">
                  <c:v>388431.39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5-4D09-A0D3-012613C26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19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3BE5D0-130B-4D69-A8C1-A59233A098CA}" name="Table3" displayName="Table3" ref="A1:M521" totalsRowShown="0">
  <autoFilter ref="A1:M521" xr:uid="{CA3BE5D0-130B-4D69-A8C1-A59233A098CA}"/>
  <tableColumns count="13">
    <tableColumn id="1" xr3:uid="{311E0BD0-5DE6-45C7-8095-DE3626375FF3}" name="Order_ID"/>
    <tableColumn id="2" xr3:uid="{47CA7026-9DB3-43A7-95D9-AA71986E6AD4}" name="Customer_ID"/>
    <tableColumn id="3" xr3:uid="{61A352A5-EEDF-4FD1-AB16-118C889B2684}" name="Customer_Age"/>
    <tableColumn id="4" xr3:uid="{B17319CB-B1B9-42E7-9F8D-C887B688732E}" name="Gender"/>
    <tableColumn id="5" xr3:uid="{368A9D27-5EAF-4190-AFDC-3947398A6FAC}" name="City"/>
    <tableColumn id="6" xr3:uid="{63D6BBAF-13F1-48E4-AA59-865CFC08A814}" name="Product_Category"/>
    <tableColumn id="7" xr3:uid="{79C49BA6-AA93-4B25-AEE0-2F0202298153}" name="Product_Name"/>
    <tableColumn id="8" xr3:uid="{C91CCB83-6E9D-4517-A282-9EF26C8600F0}" name="Quantity"/>
    <tableColumn id="9" xr3:uid="{0B139AFB-ED31-4260-955B-8EB564B453B5}" name="Unit_Price"/>
    <tableColumn id="10" xr3:uid="{0FCD04B4-C252-445F-AA79-C6AF26BD0474}" name="Total_Amount"/>
    <tableColumn id="11" xr3:uid="{25B5A472-1F8E-4A95-86C6-A00B448F13E2}" name="Payment_Method"/>
    <tableColumn id="12" xr3:uid="{26C881A7-D32E-45D1-B3A5-FE49E1D45AF7}" name="Rating"/>
    <tableColumn id="13" xr3:uid="{0A9DA8CA-ABF8-4ADA-866E-4C2FABD2B55E}" name="Order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1"/>
  <sheetViews>
    <sheetView workbookViewId="0">
      <selection activeCell="L1" sqref="L1:L521"/>
    </sheetView>
  </sheetViews>
  <sheetFormatPr defaultRowHeight="15"/>
  <cols>
    <col min="1" max="1" width="11.28515625" bestFit="1" customWidth="1"/>
    <col min="2" max="2" width="14.7109375" bestFit="1" customWidth="1"/>
    <col min="3" max="3" width="16.28515625" bestFit="1" customWidth="1"/>
    <col min="4" max="4" width="9.7109375" bestFit="1" customWidth="1"/>
    <col min="5" max="5" width="10.42578125" bestFit="1" customWidth="1"/>
    <col min="6" max="6" width="19.140625" bestFit="1" customWidth="1"/>
    <col min="7" max="7" width="16.42578125" bestFit="1" customWidth="1"/>
    <col min="8" max="8" width="11" bestFit="1" customWidth="1"/>
    <col min="9" max="9" width="12.42578125" bestFit="1" customWidth="1"/>
    <col min="10" max="10" width="16" bestFit="1" customWidth="1"/>
    <col min="11" max="11" width="19.28515625" bestFit="1" customWidth="1"/>
    <col min="13" max="13" width="29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10001</v>
      </c>
      <c r="B2">
        <v>3061</v>
      </c>
      <c r="C2">
        <v>21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3100.57</v>
      </c>
      <c r="J2">
        <v>6201.14</v>
      </c>
      <c r="K2" t="s">
        <v>17</v>
      </c>
      <c r="L2">
        <v>3</v>
      </c>
      <c r="M2" t="s">
        <v>18</v>
      </c>
    </row>
    <row r="3" spans="1:13">
      <c r="A3">
        <v>10002</v>
      </c>
      <c r="B3">
        <v>2235</v>
      </c>
      <c r="C3">
        <v>21</v>
      </c>
      <c r="D3" t="s">
        <v>19</v>
      </c>
      <c r="E3" t="s">
        <v>20</v>
      </c>
      <c r="F3" t="s">
        <v>21</v>
      </c>
      <c r="G3" t="s">
        <v>16</v>
      </c>
      <c r="H3">
        <v>1</v>
      </c>
      <c r="I3">
        <v>983.85</v>
      </c>
      <c r="J3">
        <v>983.85</v>
      </c>
      <c r="K3" t="s">
        <v>22</v>
      </c>
      <c r="L3">
        <v>1</v>
      </c>
      <c r="M3" t="s">
        <v>23</v>
      </c>
    </row>
    <row r="4" spans="1:13">
      <c r="A4">
        <v>10003</v>
      </c>
      <c r="B4">
        <v>3096</v>
      </c>
      <c r="C4">
        <v>21</v>
      </c>
      <c r="D4" t="s">
        <v>13</v>
      </c>
      <c r="E4" t="s">
        <v>14</v>
      </c>
      <c r="F4" t="s">
        <v>24</v>
      </c>
      <c r="G4" t="s">
        <v>25</v>
      </c>
      <c r="H4">
        <v>2</v>
      </c>
      <c r="I4">
        <v>1385.43</v>
      </c>
      <c r="J4">
        <v>2770.86</v>
      </c>
      <c r="K4" t="s">
        <v>26</v>
      </c>
      <c r="L4">
        <v>4</v>
      </c>
      <c r="M4" t="s">
        <v>27</v>
      </c>
    </row>
    <row r="5" spans="1:13">
      <c r="A5">
        <v>10004</v>
      </c>
      <c r="B5">
        <v>2905</v>
      </c>
      <c r="C5">
        <v>51</v>
      </c>
      <c r="D5" t="s">
        <v>13</v>
      </c>
      <c r="E5" t="s">
        <v>14</v>
      </c>
      <c r="F5" t="s">
        <v>15</v>
      </c>
      <c r="G5" t="s">
        <v>28</v>
      </c>
      <c r="H5">
        <v>3</v>
      </c>
      <c r="I5">
        <v>1645.97</v>
      </c>
      <c r="J5">
        <v>4937.91</v>
      </c>
      <c r="K5" t="s">
        <v>17</v>
      </c>
      <c r="L5">
        <v>5</v>
      </c>
      <c r="M5" t="s">
        <v>29</v>
      </c>
    </row>
    <row r="6" spans="1:13">
      <c r="A6">
        <v>10005</v>
      </c>
      <c r="B6">
        <v>4763</v>
      </c>
      <c r="C6">
        <v>53</v>
      </c>
      <c r="D6" t="s">
        <v>13</v>
      </c>
      <c r="E6" t="s">
        <v>30</v>
      </c>
      <c r="F6" t="s">
        <v>31</v>
      </c>
      <c r="G6" t="s">
        <v>32</v>
      </c>
      <c r="H6">
        <v>5</v>
      </c>
      <c r="I6">
        <v>4204.53</v>
      </c>
      <c r="J6">
        <v>21022.65</v>
      </c>
      <c r="K6" t="s">
        <v>22</v>
      </c>
      <c r="L6">
        <v>3</v>
      </c>
      <c r="M6" t="s">
        <v>33</v>
      </c>
    </row>
    <row r="7" spans="1:13">
      <c r="A7">
        <v>10006</v>
      </c>
      <c r="B7">
        <v>4895</v>
      </c>
      <c r="C7">
        <v>34</v>
      </c>
      <c r="D7" t="s">
        <v>13</v>
      </c>
      <c r="E7" t="s">
        <v>30</v>
      </c>
      <c r="F7" t="s">
        <v>24</v>
      </c>
      <c r="G7" t="s">
        <v>16</v>
      </c>
      <c r="H7">
        <v>2</v>
      </c>
      <c r="I7">
        <v>1021.08</v>
      </c>
      <c r="J7">
        <v>2042.16</v>
      </c>
      <c r="K7" t="s">
        <v>34</v>
      </c>
      <c r="L7">
        <v>5</v>
      </c>
      <c r="M7" t="s">
        <v>35</v>
      </c>
    </row>
    <row r="8" spans="1:13">
      <c r="A8">
        <v>10007</v>
      </c>
      <c r="B8">
        <v>2960</v>
      </c>
      <c r="C8">
        <v>46</v>
      </c>
      <c r="D8" t="s">
        <v>13</v>
      </c>
      <c r="E8" t="s">
        <v>36</v>
      </c>
      <c r="F8" t="s">
        <v>31</v>
      </c>
      <c r="G8" t="s">
        <v>16</v>
      </c>
      <c r="H8">
        <v>3</v>
      </c>
      <c r="I8">
        <v>2895.05</v>
      </c>
      <c r="J8">
        <v>8685.15</v>
      </c>
      <c r="K8" t="s">
        <v>17</v>
      </c>
      <c r="L8">
        <v>4</v>
      </c>
      <c r="M8" t="s">
        <v>37</v>
      </c>
    </row>
    <row r="9" spans="1:13">
      <c r="A9">
        <v>10008</v>
      </c>
      <c r="B9">
        <v>2144</v>
      </c>
      <c r="C9">
        <v>55</v>
      </c>
      <c r="D9" t="s">
        <v>19</v>
      </c>
      <c r="E9" t="s">
        <v>30</v>
      </c>
      <c r="F9" t="s">
        <v>38</v>
      </c>
      <c r="G9" t="s">
        <v>32</v>
      </c>
      <c r="H9">
        <v>4</v>
      </c>
      <c r="I9">
        <v>2970.26</v>
      </c>
      <c r="J9">
        <v>11881.04</v>
      </c>
      <c r="K9" t="s">
        <v>39</v>
      </c>
      <c r="L9">
        <v>5</v>
      </c>
      <c r="M9" t="s">
        <v>40</v>
      </c>
    </row>
    <row r="10" spans="1:13">
      <c r="A10">
        <v>10009</v>
      </c>
      <c r="B10">
        <v>2129</v>
      </c>
      <c r="C10">
        <v>18</v>
      </c>
      <c r="D10" t="s">
        <v>13</v>
      </c>
      <c r="E10" t="s">
        <v>14</v>
      </c>
      <c r="F10" t="s">
        <v>31</v>
      </c>
      <c r="G10" t="s">
        <v>41</v>
      </c>
      <c r="H10">
        <v>5</v>
      </c>
      <c r="I10">
        <v>1914.07</v>
      </c>
      <c r="J10">
        <v>9570.35</v>
      </c>
      <c r="K10" t="s">
        <v>34</v>
      </c>
      <c r="L10">
        <v>5</v>
      </c>
      <c r="M10" t="s">
        <v>42</v>
      </c>
    </row>
    <row r="11" spans="1:13">
      <c r="A11">
        <v>10010</v>
      </c>
      <c r="B11">
        <v>4797</v>
      </c>
      <c r="C11">
        <v>55</v>
      </c>
      <c r="D11" t="s">
        <v>19</v>
      </c>
      <c r="E11" t="s">
        <v>43</v>
      </c>
      <c r="F11" t="s">
        <v>24</v>
      </c>
      <c r="G11" t="s">
        <v>44</v>
      </c>
      <c r="H11">
        <v>2</v>
      </c>
      <c r="I11">
        <v>1947.9</v>
      </c>
      <c r="J11">
        <v>3895.8</v>
      </c>
      <c r="K11" t="s">
        <v>17</v>
      </c>
      <c r="L11">
        <v>2</v>
      </c>
      <c r="M11" t="s">
        <v>45</v>
      </c>
    </row>
    <row r="12" spans="1:13">
      <c r="A12">
        <v>10011</v>
      </c>
      <c r="B12">
        <v>4556</v>
      </c>
      <c r="C12">
        <v>47</v>
      </c>
      <c r="D12" t="s">
        <v>13</v>
      </c>
      <c r="E12" t="s">
        <v>36</v>
      </c>
      <c r="F12" t="s">
        <v>31</v>
      </c>
      <c r="G12" t="s">
        <v>41</v>
      </c>
      <c r="H12">
        <v>2</v>
      </c>
      <c r="I12">
        <v>4807.83</v>
      </c>
      <c r="J12">
        <v>9615.66</v>
      </c>
      <c r="K12" t="s">
        <v>22</v>
      </c>
      <c r="L12">
        <v>1</v>
      </c>
      <c r="M12" t="s">
        <v>46</v>
      </c>
    </row>
    <row r="13" spans="1:13">
      <c r="A13">
        <v>10012</v>
      </c>
      <c r="B13">
        <v>3202</v>
      </c>
      <c r="C13">
        <v>36</v>
      </c>
      <c r="D13" t="s">
        <v>13</v>
      </c>
      <c r="E13" t="s">
        <v>36</v>
      </c>
      <c r="F13" t="s">
        <v>21</v>
      </c>
      <c r="G13" t="s">
        <v>41</v>
      </c>
      <c r="H13">
        <v>2</v>
      </c>
      <c r="I13">
        <v>2900.72</v>
      </c>
      <c r="J13">
        <v>5801.44</v>
      </c>
      <c r="K13" t="s">
        <v>17</v>
      </c>
      <c r="L13">
        <v>3</v>
      </c>
      <c r="M13" t="s">
        <v>47</v>
      </c>
    </row>
    <row r="14" spans="1:13">
      <c r="A14">
        <v>10013</v>
      </c>
      <c r="B14">
        <v>3300</v>
      </c>
      <c r="C14">
        <v>32</v>
      </c>
      <c r="D14" t="s">
        <v>13</v>
      </c>
      <c r="E14" t="s">
        <v>36</v>
      </c>
      <c r="F14" t="s">
        <v>24</v>
      </c>
      <c r="G14" t="s">
        <v>32</v>
      </c>
      <c r="H14">
        <v>2</v>
      </c>
      <c r="I14">
        <v>3367.84</v>
      </c>
      <c r="J14">
        <v>6735.68</v>
      </c>
      <c r="K14" t="s">
        <v>39</v>
      </c>
      <c r="L14">
        <v>1</v>
      </c>
      <c r="M14" t="s">
        <v>48</v>
      </c>
    </row>
    <row r="15" spans="1:13">
      <c r="A15">
        <v>10014</v>
      </c>
      <c r="B15">
        <v>3278</v>
      </c>
      <c r="C15">
        <v>57</v>
      </c>
      <c r="D15" t="s">
        <v>19</v>
      </c>
      <c r="E15" t="s">
        <v>30</v>
      </c>
      <c r="F15" t="s">
        <v>21</v>
      </c>
      <c r="G15" t="s">
        <v>25</v>
      </c>
      <c r="H15">
        <v>4</v>
      </c>
      <c r="I15">
        <v>2606.48</v>
      </c>
      <c r="J15">
        <v>10425.92</v>
      </c>
      <c r="K15" t="s">
        <v>22</v>
      </c>
      <c r="L15">
        <v>4</v>
      </c>
      <c r="M15" t="s">
        <v>49</v>
      </c>
    </row>
    <row r="16" spans="1:13">
      <c r="A16">
        <v>10015</v>
      </c>
      <c r="B16">
        <v>2357</v>
      </c>
      <c r="C16">
        <v>24</v>
      </c>
      <c r="D16" t="s">
        <v>19</v>
      </c>
      <c r="E16" t="s">
        <v>30</v>
      </c>
      <c r="F16" t="s">
        <v>50</v>
      </c>
      <c r="G16" t="s">
        <v>28</v>
      </c>
      <c r="H16">
        <v>2</v>
      </c>
      <c r="I16">
        <v>3339.25</v>
      </c>
      <c r="J16">
        <v>6678.5</v>
      </c>
      <c r="K16" t="s">
        <v>34</v>
      </c>
      <c r="L16">
        <v>4</v>
      </c>
      <c r="M16" t="s">
        <v>51</v>
      </c>
    </row>
    <row r="17" spans="1:13">
      <c r="A17">
        <v>10016</v>
      </c>
      <c r="B17">
        <v>4962</v>
      </c>
      <c r="C17">
        <v>46</v>
      </c>
      <c r="D17" t="s">
        <v>13</v>
      </c>
      <c r="E17" t="s">
        <v>36</v>
      </c>
      <c r="F17" t="s">
        <v>15</v>
      </c>
      <c r="G17" t="s">
        <v>16</v>
      </c>
      <c r="H17">
        <v>1</v>
      </c>
      <c r="I17">
        <v>3144.68</v>
      </c>
      <c r="J17">
        <v>3144.68</v>
      </c>
      <c r="K17" t="s">
        <v>22</v>
      </c>
      <c r="L17">
        <v>4</v>
      </c>
      <c r="M17" t="s">
        <v>52</v>
      </c>
    </row>
    <row r="18" spans="1:13">
      <c r="A18">
        <v>10017</v>
      </c>
      <c r="B18">
        <v>4516</v>
      </c>
      <c r="C18">
        <v>28</v>
      </c>
      <c r="D18" t="s">
        <v>19</v>
      </c>
      <c r="E18" t="s">
        <v>53</v>
      </c>
      <c r="F18" t="s">
        <v>31</v>
      </c>
      <c r="G18" t="s">
        <v>32</v>
      </c>
      <c r="H18">
        <v>3</v>
      </c>
      <c r="I18">
        <v>982.31</v>
      </c>
      <c r="J18">
        <v>2946.93</v>
      </c>
      <c r="K18" t="s">
        <v>26</v>
      </c>
      <c r="L18">
        <v>4</v>
      </c>
      <c r="M18" t="s">
        <v>54</v>
      </c>
    </row>
    <row r="19" spans="1:13">
      <c r="A19">
        <v>10018</v>
      </c>
      <c r="B19">
        <v>4955</v>
      </c>
      <c r="C19">
        <v>50</v>
      </c>
      <c r="D19" t="s">
        <v>19</v>
      </c>
      <c r="E19" t="s">
        <v>55</v>
      </c>
      <c r="F19" t="s">
        <v>50</v>
      </c>
      <c r="G19" t="s">
        <v>56</v>
      </c>
      <c r="H19">
        <v>5</v>
      </c>
      <c r="I19">
        <v>1873</v>
      </c>
      <c r="J19">
        <v>9365</v>
      </c>
      <c r="K19" t="s">
        <v>39</v>
      </c>
      <c r="L19">
        <v>1</v>
      </c>
      <c r="M19" t="s">
        <v>57</v>
      </c>
    </row>
    <row r="20" spans="1:13">
      <c r="A20">
        <v>10019</v>
      </c>
      <c r="B20">
        <v>2252</v>
      </c>
      <c r="C20">
        <v>47</v>
      </c>
      <c r="D20" t="s">
        <v>13</v>
      </c>
      <c r="E20" t="s">
        <v>43</v>
      </c>
      <c r="F20" t="s">
        <v>21</v>
      </c>
      <c r="G20" t="s">
        <v>41</v>
      </c>
      <c r="H20">
        <v>5</v>
      </c>
      <c r="I20">
        <v>2464.04</v>
      </c>
      <c r="J20">
        <v>12320.2</v>
      </c>
      <c r="K20" t="s">
        <v>17</v>
      </c>
      <c r="L20">
        <v>5</v>
      </c>
      <c r="M20" t="s">
        <v>58</v>
      </c>
    </row>
    <row r="21" spans="1:13">
      <c r="A21">
        <v>10020</v>
      </c>
      <c r="B21">
        <v>2668</v>
      </c>
      <c r="C21">
        <v>36</v>
      </c>
      <c r="D21" t="s">
        <v>13</v>
      </c>
      <c r="E21" t="s">
        <v>55</v>
      </c>
      <c r="F21" t="s">
        <v>15</v>
      </c>
      <c r="G21" t="s">
        <v>41</v>
      </c>
      <c r="H21">
        <v>1</v>
      </c>
      <c r="I21">
        <v>900.76</v>
      </c>
      <c r="J21">
        <v>900.76</v>
      </c>
      <c r="K21" t="s">
        <v>26</v>
      </c>
      <c r="L21">
        <v>4</v>
      </c>
      <c r="M21" t="s">
        <v>59</v>
      </c>
    </row>
    <row r="22" spans="1:13">
      <c r="A22">
        <v>10021</v>
      </c>
      <c r="B22">
        <v>4446</v>
      </c>
      <c r="C22">
        <v>54</v>
      </c>
      <c r="D22" t="s">
        <v>19</v>
      </c>
      <c r="E22" t="s">
        <v>20</v>
      </c>
      <c r="F22" t="s">
        <v>38</v>
      </c>
      <c r="G22" t="s">
        <v>60</v>
      </c>
      <c r="H22">
        <v>3</v>
      </c>
      <c r="I22">
        <v>2006.44</v>
      </c>
      <c r="J22">
        <v>6019.32</v>
      </c>
      <c r="K22" t="s">
        <v>34</v>
      </c>
      <c r="L22">
        <v>1</v>
      </c>
      <c r="M22" t="s">
        <v>61</v>
      </c>
    </row>
    <row r="23" spans="1:13">
      <c r="A23">
        <v>10022</v>
      </c>
      <c r="B23">
        <v>2562</v>
      </c>
      <c r="C23">
        <v>47</v>
      </c>
      <c r="D23" t="s">
        <v>13</v>
      </c>
      <c r="E23" t="s">
        <v>30</v>
      </c>
      <c r="F23" t="s">
        <v>21</v>
      </c>
      <c r="G23" t="s">
        <v>62</v>
      </c>
      <c r="H23">
        <v>2</v>
      </c>
      <c r="I23">
        <v>1372.27</v>
      </c>
      <c r="J23">
        <v>2744.54</v>
      </c>
      <c r="K23" t="s">
        <v>26</v>
      </c>
      <c r="L23">
        <v>3</v>
      </c>
      <c r="M23" t="s">
        <v>63</v>
      </c>
    </row>
    <row r="24" spans="1:13">
      <c r="A24">
        <v>10023</v>
      </c>
      <c r="B24">
        <v>4628</v>
      </c>
      <c r="C24">
        <v>57</v>
      </c>
      <c r="D24" t="s">
        <v>13</v>
      </c>
      <c r="E24" t="s">
        <v>55</v>
      </c>
      <c r="F24" t="s">
        <v>38</v>
      </c>
      <c r="G24" t="s">
        <v>41</v>
      </c>
      <c r="H24">
        <v>3</v>
      </c>
      <c r="I24">
        <v>4283.26</v>
      </c>
      <c r="J24">
        <v>12849.78</v>
      </c>
      <c r="K24" t="s">
        <v>22</v>
      </c>
      <c r="L24">
        <v>2</v>
      </c>
      <c r="M24" t="s">
        <v>64</v>
      </c>
    </row>
    <row r="25" spans="1:13">
      <c r="A25">
        <v>10024</v>
      </c>
      <c r="B25">
        <v>2753</v>
      </c>
      <c r="C25">
        <v>46</v>
      </c>
      <c r="D25" t="s">
        <v>13</v>
      </c>
      <c r="E25" t="s">
        <v>53</v>
      </c>
      <c r="F25" t="s">
        <v>15</v>
      </c>
      <c r="G25" t="s">
        <v>41</v>
      </c>
      <c r="H25">
        <v>1</v>
      </c>
      <c r="I25">
        <v>1904.93</v>
      </c>
      <c r="J25">
        <v>1904.93</v>
      </c>
      <c r="K25" t="s">
        <v>39</v>
      </c>
      <c r="L25">
        <v>3</v>
      </c>
      <c r="M25" t="s">
        <v>65</v>
      </c>
    </row>
    <row r="26" spans="1:13">
      <c r="A26">
        <v>10025</v>
      </c>
      <c r="B26">
        <v>3527</v>
      </c>
      <c r="C26">
        <v>47</v>
      </c>
      <c r="D26" t="s">
        <v>13</v>
      </c>
      <c r="E26" t="s">
        <v>36</v>
      </c>
      <c r="F26" t="s">
        <v>21</v>
      </c>
      <c r="G26" t="s">
        <v>60</v>
      </c>
      <c r="H26">
        <v>3</v>
      </c>
      <c r="I26">
        <v>1365.91</v>
      </c>
      <c r="J26">
        <v>4097.7299999999996</v>
      </c>
      <c r="K26" t="s">
        <v>34</v>
      </c>
      <c r="L26">
        <v>5</v>
      </c>
      <c r="M26" t="s">
        <v>66</v>
      </c>
    </row>
    <row r="27" spans="1:13">
      <c r="A27">
        <v>10026</v>
      </c>
      <c r="B27">
        <v>3888</v>
      </c>
      <c r="C27">
        <v>57</v>
      </c>
      <c r="D27" t="s">
        <v>13</v>
      </c>
      <c r="E27" t="s">
        <v>30</v>
      </c>
      <c r="F27" t="s">
        <v>38</v>
      </c>
      <c r="G27" t="s">
        <v>32</v>
      </c>
      <c r="H27">
        <v>1</v>
      </c>
      <c r="I27">
        <v>2218.4499999999998</v>
      </c>
      <c r="J27">
        <v>2218.4499999999998</v>
      </c>
      <c r="K27" t="s">
        <v>26</v>
      </c>
      <c r="L27">
        <v>3</v>
      </c>
      <c r="M27" t="s">
        <v>67</v>
      </c>
    </row>
    <row r="28" spans="1:13">
      <c r="A28">
        <v>10027</v>
      </c>
      <c r="B28">
        <v>3110</v>
      </c>
      <c r="C28">
        <v>44</v>
      </c>
      <c r="D28" t="s">
        <v>19</v>
      </c>
      <c r="E28" t="s">
        <v>53</v>
      </c>
      <c r="F28" t="s">
        <v>50</v>
      </c>
      <c r="G28" t="s">
        <v>28</v>
      </c>
      <c r="H28">
        <v>2</v>
      </c>
      <c r="I28">
        <v>3510.4</v>
      </c>
      <c r="J28">
        <v>7020.8</v>
      </c>
      <c r="K28" t="s">
        <v>22</v>
      </c>
      <c r="L28">
        <v>3</v>
      </c>
      <c r="M28" t="s">
        <v>68</v>
      </c>
    </row>
    <row r="29" spans="1:13">
      <c r="A29">
        <v>10028</v>
      </c>
      <c r="B29">
        <v>4189</v>
      </c>
      <c r="C29">
        <v>45</v>
      </c>
      <c r="D29" t="s">
        <v>13</v>
      </c>
      <c r="E29" t="s">
        <v>43</v>
      </c>
      <c r="F29" t="s">
        <v>24</v>
      </c>
      <c r="G29" t="s">
        <v>69</v>
      </c>
      <c r="H29">
        <v>1</v>
      </c>
      <c r="I29">
        <v>608.41999999999996</v>
      </c>
      <c r="J29">
        <v>608.41999999999996</v>
      </c>
      <c r="K29" t="s">
        <v>39</v>
      </c>
      <c r="L29">
        <v>5</v>
      </c>
      <c r="M29" t="s">
        <v>70</v>
      </c>
    </row>
    <row r="30" spans="1:13">
      <c r="A30">
        <v>10029</v>
      </c>
      <c r="B30">
        <v>4025</v>
      </c>
      <c r="C30">
        <v>30</v>
      </c>
      <c r="D30" t="s">
        <v>19</v>
      </c>
      <c r="E30" t="s">
        <v>55</v>
      </c>
      <c r="F30" t="s">
        <v>31</v>
      </c>
      <c r="G30" t="s">
        <v>16</v>
      </c>
      <c r="H30">
        <v>4</v>
      </c>
      <c r="I30">
        <v>1149.43</v>
      </c>
      <c r="J30">
        <v>4597.72</v>
      </c>
      <c r="K30" t="s">
        <v>26</v>
      </c>
      <c r="L30">
        <v>3</v>
      </c>
      <c r="M30" t="s">
        <v>71</v>
      </c>
    </row>
    <row r="31" spans="1:13">
      <c r="A31">
        <v>10030</v>
      </c>
      <c r="B31">
        <v>3031</v>
      </c>
      <c r="C31">
        <v>35</v>
      </c>
      <c r="D31" t="s">
        <v>13</v>
      </c>
      <c r="E31" t="s">
        <v>55</v>
      </c>
      <c r="F31" t="s">
        <v>38</v>
      </c>
      <c r="G31" t="s">
        <v>62</v>
      </c>
      <c r="H31">
        <v>2</v>
      </c>
      <c r="I31">
        <v>3563.24</v>
      </c>
      <c r="J31">
        <v>7126.48</v>
      </c>
      <c r="K31" t="s">
        <v>34</v>
      </c>
      <c r="L31">
        <v>1</v>
      </c>
      <c r="M31" t="s">
        <v>72</v>
      </c>
    </row>
    <row r="32" spans="1:13">
      <c r="A32">
        <v>10031</v>
      </c>
      <c r="B32">
        <v>2319</v>
      </c>
      <c r="C32">
        <v>25</v>
      </c>
      <c r="D32" t="s">
        <v>19</v>
      </c>
      <c r="E32" t="s">
        <v>43</v>
      </c>
      <c r="F32" t="s">
        <v>15</v>
      </c>
      <c r="G32" t="s">
        <v>56</v>
      </c>
      <c r="H32">
        <v>3</v>
      </c>
      <c r="I32">
        <v>3835.61</v>
      </c>
      <c r="J32">
        <v>11506.83</v>
      </c>
      <c r="K32" t="s">
        <v>17</v>
      </c>
      <c r="L32">
        <v>1</v>
      </c>
      <c r="M32" t="s">
        <v>73</v>
      </c>
    </row>
    <row r="33" spans="1:13">
      <c r="A33">
        <v>10032</v>
      </c>
      <c r="B33">
        <v>4877</v>
      </c>
      <c r="C33">
        <v>45</v>
      </c>
      <c r="D33" t="s">
        <v>13</v>
      </c>
      <c r="E33" t="s">
        <v>55</v>
      </c>
      <c r="F33" t="s">
        <v>38</v>
      </c>
      <c r="G33" t="s">
        <v>16</v>
      </c>
      <c r="H33">
        <v>1</v>
      </c>
      <c r="I33">
        <v>3203.45</v>
      </c>
      <c r="J33">
        <v>3203.45</v>
      </c>
      <c r="K33" t="s">
        <v>39</v>
      </c>
      <c r="L33">
        <v>3</v>
      </c>
      <c r="M33" t="s">
        <v>74</v>
      </c>
    </row>
    <row r="34" spans="1:13">
      <c r="A34">
        <v>10033</v>
      </c>
      <c r="B34">
        <v>3337</v>
      </c>
      <c r="C34">
        <v>25</v>
      </c>
      <c r="D34" t="s">
        <v>13</v>
      </c>
      <c r="E34" t="s">
        <v>53</v>
      </c>
      <c r="F34" t="s">
        <v>31</v>
      </c>
      <c r="G34" t="s">
        <v>28</v>
      </c>
      <c r="H34">
        <v>4</v>
      </c>
      <c r="I34">
        <v>4432.2299999999996</v>
      </c>
      <c r="J34">
        <v>17728.919999999998</v>
      </c>
      <c r="K34" t="s">
        <v>34</v>
      </c>
      <c r="L34">
        <v>1</v>
      </c>
      <c r="M34" t="s">
        <v>75</v>
      </c>
    </row>
    <row r="35" spans="1:13">
      <c r="A35">
        <v>10034</v>
      </c>
      <c r="B35">
        <v>4561</v>
      </c>
      <c r="C35">
        <v>37</v>
      </c>
      <c r="D35" t="s">
        <v>13</v>
      </c>
      <c r="E35" t="s">
        <v>43</v>
      </c>
      <c r="F35" t="s">
        <v>38</v>
      </c>
      <c r="G35" t="s">
        <v>16</v>
      </c>
      <c r="H35">
        <v>4</v>
      </c>
      <c r="I35">
        <v>1093.3599999999999</v>
      </c>
      <c r="J35">
        <v>4373.4399999999996</v>
      </c>
      <c r="K35" t="s">
        <v>17</v>
      </c>
      <c r="L35">
        <v>3</v>
      </c>
      <c r="M35" t="s">
        <v>76</v>
      </c>
    </row>
    <row r="36" spans="1:13">
      <c r="A36">
        <v>10035</v>
      </c>
      <c r="B36">
        <v>3920</v>
      </c>
      <c r="C36">
        <v>50</v>
      </c>
      <c r="D36" t="s">
        <v>13</v>
      </c>
      <c r="E36" t="s">
        <v>20</v>
      </c>
      <c r="F36" t="s">
        <v>38</v>
      </c>
      <c r="G36" t="s">
        <v>56</v>
      </c>
      <c r="H36">
        <v>5</v>
      </c>
      <c r="I36">
        <v>3606.67</v>
      </c>
      <c r="J36">
        <v>18033.349999999999</v>
      </c>
      <c r="K36" t="s">
        <v>39</v>
      </c>
      <c r="L36">
        <v>1</v>
      </c>
      <c r="M36" t="s">
        <v>77</v>
      </c>
    </row>
    <row r="37" spans="1:13">
      <c r="A37">
        <v>10036</v>
      </c>
      <c r="B37">
        <v>2316</v>
      </c>
      <c r="C37">
        <v>30</v>
      </c>
      <c r="D37" t="s">
        <v>13</v>
      </c>
      <c r="E37" t="s">
        <v>30</v>
      </c>
      <c r="F37" t="s">
        <v>24</v>
      </c>
      <c r="G37" t="s">
        <v>56</v>
      </c>
      <c r="H37">
        <v>1</v>
      </c>
      <c r="I37">
        <v>4611.12</v>
      </c>
      <c r="J37">
        <v>4611.12</v>
      </c>
      <c r="K37" t="s">
        <v>17</v>
      </c>
      <c r="L37">
        <v>2</v>
      </c>
      <c r="M37" t="s">
        <v>78</v>
      </c>
    </row>
    <row r="38" spans="1:13">
      <c r="A38">
        <v>10037</v>
      </c>
      <c r="B38">
        <v>4257</v>
      </c>
      <c r="C38">
        <v>56</v>
      </c>
      <c r="D38" t="s">
        <v>13</v>
      </c>
      <c r="E38" t="s">
        <v>55</v>
      </c>
      <c r="F38" t="s">
        <v>31</v>
      </c>
      <c r="G38" t="s">
        <v>44</v>
      </c>
      <c r="H38">
        <v>5</v>
      </c>
      <c r="I38">
        <v>1008.48</v>
      </c>
      <c r="J38">
        <v>5042.3999999999996</v>
      </c>
      <c r="K38" t="s">
        <v>26</v>
      </c>
      <c r="L38">
        <v>1</v>
      </c>
      <c r="M38" t="s">
        <v>79</v>
      </c>
    </row>
    <row r="39" spans="1:13">
      <c r="A39">
        <v>10038</v>
      </c>
      <c r="B39">
        <v>3288</v>
      </c>
      <c r="C39">
        <v>50</v>
      </c>
      <c r="D39" t="s">
        <v>13</v>
      </c>
      <c r="E39" t="s">
        <v>43</v>
      </c>
      <c r="F39" t="s">
        <v>50</v>
      </c>
      <c r="G39" t="s">
        <v>25</v>
      </c>
      <c r="H39">
        <v>2</v>
      </c>
      <c r="I39">
        <v>1445.69</v>
      </c>
      <c r="J39">
        <v>2891.38</v>
      </c>
      <c r="K39" t="s">
        <v>34</v>
      </c>
      <c r="L39">
        <v>5</v>
      </c>
      <c r="M39" t="s">
        <v>80</v>
      </c>
    </row>
    <row r="40" spans="1:13">
      <c r="A40">
        <v>10039</v>
      </c>
      <c r="B40">
        <v>2728</v>
      </c>
      <c r="C40">
        <v>48</v>
      </c>
      <c r="D40" t="s">
        <v>19</v>
      </c>
      <c r="E40" t="s">
        <v>53</v>
      </c>
      <c r="F40" t="s">
        <v>21</v>
      </c>
      <c r="G40" t="s">
        <v>28</v>
      </c>
      <c r="H40">
        <v>2</v>
      </c>
      <c r="I40">
        <v>2869.42</v>
      </c>
      <c r="J40">
        <v>5738.84</v>
      </c>
      <c r="K40" t="s">
        <v>34</v>
      </c>
      <c r="L40">
        <v>2</v>
      </c>
      <c r="M40" t="s">
        <v>81</v>
      </c>
    </row>
    <row r="41" spans="1:13">
      <c r="A41">
        <v>10040</v>
      </c>
      <c r="B41">
        <v>4675</v>
      </c>
      <c r="C41">
        <v>40</v>
      </c>
      <c r="D41" t="s">
        <v>19</v>
      </c>
      <c r="E41" t="s">
        <v>30</v>
      </c>
      <c r="F41" t="s">
        <v>15</v>
      </c>
      <c r="G41" t="s">
        <v>44</v>
      </c>
      <c r="H41">
        <v>4</v>
      </c>
      <c r="I41">
        <v>1917.36</v>
      </c>
      <c r="J41">
        <v>7669.44</v>
      </c>
      <c r="K41" t="s">
        <v>17</v>
      </c>
      <c r="L41">
        <v>5</v>
      </c>
      <c r="M41" t="s">
        <v>82</v>
      </c>
    </row>
    <row r="42" spans="1:13">
      <c r="A42">
        <v>10041</v>
      </c>
      <c r="B42">
        <v>2431</v>
      </c>
      <c r="C42">
        <v>23</v>
      </c>
      <c r="D42" t="s">
        <v>19</v>
      </c>
      <c r="E42" t="s">
        <v>36</v>
      </c>
      <c r="F42" t="s">
        <v>50</v>
      </c>
      <c r="G42" t="s">
        <v>32</v>
      </c>
      <c r="H42">
        <v>3</v>
      </c>
      <c r="I42">
        <v>3546</v>
      </c>
      <c r="J42">
        <v>10638</v>
      </c>
      <c r="K42" t="s">
        <v>39</v>
      </c>
      <c r="L42">
        <v>4</v>
      </c>
      <c r="M42" t="s">
        <v>83</v>
      </c>
    </row>
    <row r="43" spans="1:13">
      <c r="A43">
        <v>10042</v>
      </c>
      <c r="B43">
        <v>2633</v>
      </c>
      <c r="C43">
        <v>45</v>
      </c>
      <c r="D43" t="s">
        <v>13</v>
      </c>
      <c r="E43" t="s">
        <v>43</v>
      </c>
      <c r="F43" t="s">
        <v>15</v>
      </c>
      <c r="G43" t="s">
        <v>32</v>
      </c>
      <c r="H43">
        <v>1</v>
      </c>
      <c r="I43">
        <v>570.57000000000005</v>
      </c>
      <c r="J43">
        <v>570.57000000000005</v>
      </c>
      <c r="K43" t="s">
        <v>17</v>
      </c>
      <c r="L43">
        <v>4</v>
      </c>
      <c r="M43" t="s">
        <v>84</v>
      </c>
    </row>
    <row r="44" spans="1:13">
      <c r="A44">
        <v>10043</v>
      </c>
      <c r="B44">
        <v>4504</v>
      </c>
      <c r="C44">
        <v>49</v>
      </c>
      <c r="D44" t="s">
        <v>13</v>
      </c>
      <c r="E44" t="s">
        <v>43</v>
      </c>
      <c r="F44" t="s">
        <v>15</v>
      </c>
      <c r="G44" t="s">
        <v>62</v>
      </c>
      <c r="H44">
        <v>1</v>
      </c>
      <c r="I44">
        <v>1055.5899999999999</v>
      </c>
      <c r="J44">
        <v>1055.5899999999999</v>
      </c>
      <c r="K44" t="s">
        <v>22</v>
      </c>
      <c r="L44">
        <v>5</v>
      </c>
      <c r="M44" t="s">
        <v>85</v>
      </c>
    </row>
    <row r="45" spans="1:13">
      <c r="A45">
        <v>10044</v>
      </c>
      <c r="B45">
        <v>2542</v>
      </c>
      <c r="C45">
        <v>59</v>
      </c>
      <c r="D45" t="s">
        <v>13</v>
      </c>
      <c r="E45" t="s">
        <v>36</v>
      </c>
      <c r="F45" t="s">
        <v>50</v>
      </c>
      <c r="G45" t="s">
        <v>25</v>
      </c>
      <c r="H45">
        <v>2</v>
      </c>
      <c r="I45">
        <v>3666.32</v>
      </c>
      <c r="J45">
        <v>7332.64</v>
      </c>
      <c r="K45" t="s">
        <v>17</v>
      </c>
      <c r="L45">
        <v>5</v>
      </c>
      <c r="M45" t="s">
        <v>86</v>
      </c>
    </row>
    <row r="46" spans="1:13">
      <c r="A46">
        <v>10045</v>
      </c>
      <c r="B46">
        <v>3095</v>
      </c>
      <c r="C46">
        <v>40</v>
      </c>
      <c r="D46" t="s">
        <v>19</v>
      </c>
      <c r="E46" t="s">
        <v>55</v>
      </c>
      <c r="F46" t="s">
        <v>38</v>
      </c>
      <c r="G46" t="s">
        <v>44</v>
      </c>
      <c r="H46">
        <v>2</v>
      </c>
      <c r="I46">
        <v>4861.91</v>
      </c>
      <c r="J46">
        <v>9723.82</v>
      </c>
      <c r="K46" t="s">
        <v>34</v>
      </c>
      <c r="L46">
        <v>5</v>
      </c>
      <c r="M46" t="s">
        <v>87</v>
      </c>
    </row>
    <row r="47" spans="1:13">
      <c r="A47">
        <v>10046</v>
      </c>
      <c r="B47">
        <v>3411</v>
      </c>
      <c r="C47">
        <v>30</v>
      </c>
      <c r="D47" t="s">
        <v>13</v>
      </c>
      <c r="E47" t="s">
        <v>36</v>
      </c>
      <c r="F47" t="s">
        <v>21</v>
      </c>
      <c r="G47" t="s">
        <v>60</v>
      </c>
      <c r="H47">
        <v>1</v>
      </c>
      <c r="I47">
        <v>4668.8900000000003</v>
      </c>
      <c r="J47">
        <v>4668.8900000000003</v>
      </c>
      <c r="K47" t="s">
        <v>34</v>
      </c>
      <c r="L47">
        <v>2</v>
      </c>
      <c r="M47" t="s">
        <v>88</v>
      </c>
    </row>
    <row r="48" spans="1:13">
      <c r="A48">
        <v>10047</v>
      </c>
      <c r="B48">
        <v>3478</v>
      </c>
      <c r="C48">
        <v>40</v>
      </c>
      <c r="D48" t="s">
        <v>13</v>
      </c>
      <c r="E48" t="s">
        <v>30</v>
      </c>
      <c r="F48" t="s">
        <v>31</v>
      </c>
      <c r="G48" t="s">
        <v>25</v>
      </c>
      <c r="H48">
        <v>3</v>
      </c>
      <c r="I48">
        <v>4535.01</v>
      </c>
      <c r="J48">
        <v>13605.03</v>
      </c>
      <c r="K48" t="s">
        <v>17</v>
      </c>
      <c r="L48">
        <v>4</v>
      </c>
      <c r="M48" t="s">
        <v>89</v>
      </c>
    </row>
    <row r="49" spans="1:13">
      <c r="A49">
        <v>10048</v>
      </c>
      <c r="B49">
        <v>3337</v>
      </c>
      <c r="C49">
        <v>56</v>
      </c>
      <c r="D49" t="s">
        <v>19</v>
      </c>
      <c r="E49" t="s">
        <v>55</v>
      </c>
      <c r="F49" t="s">
        <v>31</v>
      </c>
      <c r="G49" t="s">
        <v>69</v>
      </c>
      <c r="H49">
        <v>3</v>
      </c>
      <c r="I49">
        <v>900.39</v>
      </c>
      <c r="J49">
        <v>2701.17</v>
      </c>
      <c r="K49" t="s">
        <v>34</v>
      </c>
      <c r="L49">
        <v>5</v>
      </c>
      <c r="M49" t="s">
        <v>90</v>
      </c>
    </row>
    <row r="50" spans="1:13">
      <c r="A50">
        <v>10049</v>
      </c>
      <c r="B50">
        <v>2515</v>
      </c>
      <c r="C50">
        <v>36</v>
      </c>
      <c r="D50" t="s">
        <v>19</v>
      </c>
      <c r="E50" t="s">
        <v>53</v>
      </c>
      <c r="F50" t="s">
        <v>50</v>
      </c>
      <c r="G50" t="s">
        <v>56</v>
      </c>
      <c r="H50">
        <v>3</v>
      </c>
      <c r="I50">
        <v>985.87</v>
      </c>
      <c r="J50">
        <v>2957.61</v>
      </c>
      <c r="K50" t="s">
        <v>26</v>
      </c>
      <c r="L50">
        <v>5</v>
      </c>
      <c r="M50" t="s">
        <v>91</v>
      </c>
    </row>
    <row r="51" spans="1:13">
      <c r="A51">
        <v>10050</v>
      </c>
      <c r="B51">
        <v>4840</v>
      </c>
      <c r="C51">
        <v>47</v>
      </c>
      <c r="D51" t="s">
        <v>19</v>
      </c>
      <c r="E51" t="s">
        <v>14</v>
      </c>
      <c r="F51" t="s">
        <v>15</v>
      </c>
      <c r="G51" t="s">
        <v>60</v>
      </c>
      <c r="H51">
        <v>1</v>
      </c>
      <c r="I51">
        <v>639.64</v>
      </c>
      <c r="J51">
        <v>639.64</v>
      </c>
      <c r="K51" t="s">
        <v>22</v>
      </c>
      <c r="L51">
        <v>1</v>
      </c>
      <c r="M51" t="s">
        <v>92</v>
      </c>
    </row>
    <row r="52" spans="1:13">
      <c r="A52">
        <v>10051</v>
      </c>
      <c r="B52">
        <v>2497</v>
      </c>
      <c r="C52">
        <v>47</v>
      </c>
      <c r="D52" t="s">
        <v>13</v>
      </c>
      <c r="E52" t="s">
        <v>43</v>
      </c>
      <c r="F52" t="s">
        <v>38</v>
      </c>
      <c r="G52" t="s">
        <v>62</v>
      </c>
      <c r="H52">
        <v>4</v>
      </c>
      <c r="I52">
        <v>2849.94</v>
      </c>
      <c r="J52">
        <v>11399.76</v>
      </c>
      <c r="K52" t="s">
        <v>34</v>
      </c>
      <c r="L52">
        <v>4</v>
      </c>
      <c r="M52" t="s">
        <v>93</v>
      </c>
    </row>
    <row r="53" spans="1:13">
      <c r="A53">
        <v>10052</v>
      </c>
      <c r="B53">
        <v>3612</v>
      </c>
      <c r="C53">
        <v>36</v>
      </c>
      <c r="D53" t="s">
        <v>13</v>
      </c>
      <c r="E53" t="s">
        <v>14</v>
      </c>
      <c r="F53" t="s">
        <v>31</v>
      </c>
      <c r="G53" t="s">
        <v>62</v>
      </c>
      <c r="H53">
        <v>3</v>
      </c>
      <c r="I53">
        <v>4447.6899999999996</v>
      </c>
      <c r="J53">
        <v>13343.07</v>
      </c>
      <c r="K53" t="s">
        <v>22</v>
      </c>
      <c r="L53">
        <v>3</v>
      </c>
      <c r="M53" t="s">
        <v>94</v>
      </c>
    </row>
    <row r="54" spans="1:13">
      <c r="A54">
        <v>10053</v>
      </c>
      <c r="B54">
        <v>3844</v>
      </c>
      <c r="C54">
        <v>49</v>
      </c>
      <c r="D54" t="s">
        <v>19</v>
      </c>
      <c r="E54" t="s">
        <v>14</v>
      </c>
      <c r="F54" t="s">
        <v>15</v>
      </c>
      <c r="G54" t="s">
        <v>69</v>
      </c>
      <c r="H54">
        <v>3</v>
      </c>
      <c r="I54">
        <v>2799.42</v>
      </c>
      <c r="J54">
        <v>8398.26</v>
      </c>
      <c r="K54" t="s">
        <v>22</v>
      </c>
      <c r="L54">
        <v>3</v>
      </c>
      <c r="M54" t="s">
        <v>95</v>
      </c>
    </row>
    <row r="55" spans="1:13">
      <c r="A55">
        <v>10054</v>
      </c>
      <c r="B55">
        <v>3360</v>
      </c>
      <c r="C55">
        <v>52</v>
      </c>
      <c r="D55" t="s">
        <v>13</v>
      </c>
      <c r="E55" t="s">
        <v>20</v>
      </c>
      <c r="F55" t="s">
        <v>31</v>
      </c>
      <c r="G55" t="s">
        <v>41</v>
      </c>
      <c r="H55">
        <v>4</v>
      </c>
      <c r="I55">
        <v>3974.06</v>
      </c>
      <c r="J55">
        <v>15896.24</v>
      </c>
      <c r="K55" t="s">
        <v>39</v>
      </c>
      <c r="L55">
        <v>5</v>
      </c>
      <c r="M55" t="s">
        <v>96</v>
      </c>
    </row>
    <row r="56" spans="1:13">
      <c r="A56">
        <v>10055</v>
      </c>
      <c r="B56">
        <v>4669</v>
      </c>
      <c r="C56">
        <v>37</v>
      </c>
      <c r="D56" t="s">
        <v>19</v>
      </c>
      <c r="E56" t="s">
        <v>36</v>
      </c>
      <c r="F56" t="s">
        <v>31</v>
      </c>
      <c r="G56" t="s">
        <v>28</v>
      </c>
      <c r="H56">
        <v>3</v>
      </c>
      <c r="I56">
        <v>1185.73</v>
      </c>
      <c r="J56">
        <v>3557.19</v>
      </c>
      <c r="K56" t="s">
        <v>34</v>
      </c>
      <c r="L56">
        <v>3</v>
      </c>
      <c r="M56" t="s">
        <v>97</v>
      </c>
    </row>
    <row r="57" spans="1:13">
      <c r="A57">
        <v>10056</v>
      </c>
      <c r="B57">
        <v>2883</v>
      </c>
      <c r="C57">
        <v>47</v>
      </c>
      <c r="D57" t="s">
        <v>13</v>
      </c>
      <c r="E57" t="s">
        <v>36</v>
      </c>
      <c r="F57" t="s">
        <v>38</v>
      </c>
      <c r="G57" t="s">
        <v>16</v>
      </c>
      <c r="H57">
        <v>3</v>
      </c>
      <c r="I57">
        <v>4356.62</v>
      </c>
      <c r="J57">
        <v>13069.86</v>
      </c>
      <c r="K57" t="s">
        <v>39</v>
      </c>
      <c r="L57">
        <v>2</v>
      </c>
      <c r="M57" t="s">
        <v>98</v>
      </c>
    </row>
    <row r="58" spans="1:13">
      <c r="A58">
        <v>10057</v>
      </c>
      <c r="B58">
        <v>3321</v>
      </c>
      <c r="C58">
        <v>40</v>
      </c>
      <c r="D58" t="s">
        <v>19</v>
      </c>
      <c r="E58" t="s">
        <v>30</v>
      </c>
      <c r="F58" t="s">
        <v>24</v>
      </c>
      <c r="G58" t="s">
        <v>32</v>
      </c>
      <c r="H58">
        <v>2</v>
      </c>
      <c r="I58">
        <v>1180.9000000000001</v>
      </c>
      <c r="J58">
        <v>2361.8000000000002</v>
      </c>
      <c r="K58" t="s">
        <v>22</v>
      </c>
      <c r="L58">
        <v>4</v>
      </c>
      <c r="M58" t="s">
        <v>99</v>
      </c>
    </row>
    <row r="59" spans="1:13">
      <c r="A59">
        <v>10058</v>
      </c>
      <c r="B59">
        <v>2015</v>
      </c>
      <c r="C59">
        <v>33</v>
      </c>
      <c r="D59" t="s">
        <v>19</v>
      </c>
      <c r="E59" t="s">
        <v>30</v>
      </c>
      <c r="F59" t="s">
        <v>21</v>
      </c>
      <c r="G59" t="s">
        <v>62</v>
      </c>
      <c r="H59">
        <v>4</v>
      </c>
      <c r="I59">
        <v>557.39</v>
      </c>
      <c r="J59">
        <v>2229.56</v>
      </c>
      <c r="K59" t="s">
        <v>17</v>
      </c>
      <c r="L59">
        <v>5</v>
      </c>
      <c r="M59" t="s">
        <v>100</v>
      </c>
    </row>
    <row r="60" spans="1:13">
      <c r="A60">
        <v>10059</v>
      </c>
      <c r="B60">
        <v>4244</v>
      </c>
      <c r="C60">
        <v>25</v>
      </c>
      <c r="D60" t="s">
        <v>19</v>
      </c>
      <c r="E60" t="s">
        <v>36</v>
      </c>
      <c r="F60" t="s">
        <v>24</v>
      </c>
      <c r="G60" t="s">
        <v>62</v>
      </c>
      <c r="H60">
        <v>5</v>
      </c>
      <c r="I60">
        <v>2281.0100000000002</v>
      </c>
      <c r="J60">
        <v>11405.05</v>
      </c>
      <c r="K60" t="s">
        <v>22</v>
      </c>
      <c r="L60">
        <v>2</v>
      </c>
      <c r="M60" t="s">
        <v>101</v>
      </c>
    </row>
    <row r="61" spans="1:13">
      <c r="A61">
        <v>10060</v>
      </c>
      <c r="B61">
        <v>2025</v>
      </c>
      <c r="C61">
        <v>46</v>
      </c>
      <c r="D61" t="s">
        <v>13</v>
      </c>
      <c r="E61" t="s">
        <v>30</v>
      </c>
      <c r="F61" t="s">
        <v>21</v>
      </c>
      <c r="G61" t="s">
        <v>28</v>
      </c>
      <c r="H61">
        <v>5</v>
      </c>
      <c r="I61">
        <v>2908.99</v>
      </c>
      <c r="J61">
        <v>14544.95</v>
      </c>
      <c r="K61" t="s">
        <v>39</v>
      </c>
      <c r="L61">
        <v>3</v>
      </c>
      <c r="M61" t="s">
        <v>102</v>
      </c>
    </row>
    <row r="62" spans="1:13">
      <c r="A62">
        <v>10061</v>
      </c>
      <c r="B62">
        <v>3495</v>
      </c>
      <c r="C62">
        <v>37</v>
      </c>
      <c r="D62" t="s">
        <v>19</v>
      </c>
      <c r="E62" t="s">
        <v>30</v>
      </c>
      <c r="F62" t="s">
        <v>38</v>
      </c>
      <c r="G62" t="s">
        <v>32</v>
      </c>
      <c r="H62">
        <v>3</v>
      </c>
      <c r="I62">
        <v>4862.49</v>
      </c>
      <c r="J62">
        <v>14587.47</v>
      </c>
      <c r="K62" t="s">
        <v>26</v>
      </c>
      <c r="L62">
        <v>5</v>
      </c>
      <c r="M62" t="s">
        <v>103</v>
      </c>
    </row>
    <row r="63" spans="1:13">
      <c r="A63">
        <v>10062</v>
      </c>
      <c r="B63">
        <v>3927</v>
      </c>
      <c r="C63">
        <v>45</v>
      </c>
      <c r="D63" t="s">
        <v>19</v>
      </c>
      <c r="E63" t="s">
        <v>43</v>
      </c>
      <c r="F63" t="s">
        <v>24</v>
      </c>
      <c r="G63" t="s">
        <v>32</v>
      </c>
      <c r="H63">
        <v>5</v>
      </c>
      <c r="I63">
        <v>731.24</v>
      </c>
      <c r="J63">
        <v>3656.2</v>
      </c>
      <c r="K63" t="s">
        <v>39</v>
      </c>
      <c r="L63">
        <v>3</v>
      </c>
      <c r="M63" t="s">
        <v>104</v>
      </c>
    </row>
    <row r="64" spans="1:13">
      <c r="A64">
        <v>10063</v>
      </c>
      <c r="B64">
        <v>3306</v>
      </c>
      <c r="C64">
        <v>37</v>
      </c>
      <c r="D64" t="s">
        <v>13</v>
      </c>
      <c r="E64" t="s">
        <v>36</v>
      </c>
      <c r="F64" t="s">
        <v>38</v>
      </c>
      <c r="G64" t="s">
        <v>28</v>
      </c>
      <c r="H64">
        <v>3</v>
      </c>
      <c r="I64">
        <v>1587.42</v>
      </c>
      <c r="J64">
        <v>4762.26</v>
      </c>
      <c r="K64" t="s">
        <v>34</v>
      </c>
      <c r="L64">
        <v>4</v>
      </c>
      <c r="M64" t="s">
        <v>105</v>
      </c>
    </row>
    <row r="65" spans="1:13">
      <c r="A65">
        <v>10064</v>
      </c>
      <c r="B65">
        <v>3640</v>
      </c>
      <c r="C65">
        <v>33</v>
      </c>
      <c r="D65" t="s">
        <v>19</v>
      </c>
      <c r="E65" t="s">
        <v>20</v>
      </c>
      <c r="F65" t="s">
        <v>21</v>
      </c>
      <c r="G65" t="s">
        <v>60</v>
      </c>
      <c r="H65">
        <v>5</v>
      </c>
      <c r="I65">
        <v>794</v>
      </c>
      <c r="J65">
        <v>3970</v>
      </c>
      <c r="K65" t="s">
        <v>17</v>
      </c>
      <c r="L65">
        <v>1</v>
      </c>
      <c r="M65" t="s">
        <v>106</v>
      </c>
    </row>
    <row r="66" spans="1:13">
      <c r="A66">
        <v>10065</v>
      </c>
      <c r="B66">
        <v>3046</v>
      </c>
      <c r="C66">
        <v>24</v>
      </c>
      <c r="D66" t="s">
        <v>19</v>
      </c>
      <c r="E66" t="s">
        <v>30</v>
      </c>
      <c r="F66" t="s">
        <v>50</v>
      </c>
      <c r="G66" t="s">
        <v>56</v>
      </c>
      <c r="H66">
        <v>1</v>
      </c>
      <c r="I66">
        <v>2135.0700000000002</v>
      </c>
      <c r="J66">
        <v>2135.0700000000002</v>
      </c>
      <c r="K66" t="s">
        <v>17</v>
      </c>
      <c r="L66">
        <v>4</v>
      </c>
      <c r="M66" t="s">
        <v>107</v>
      </c>
    </row>
    <row r="67" spans="1:13">
      <c r="A67">
        <v>10066</v>
      </c>
      <c r="B67">
        <v>3801</v>
      </c>
      <c r="C67">
        <v>42</v>
      </c>
      <c r="D67" t="s">
        <v>19</v>
      </c>
      <c r="E67" t="s">
        <v>53</v>
      </c>
      <c r="F67" t="s">
        <v>21</v>
      </c>
      <c r="G67" t="s">
        <v>44</v>
      </c>
      <c r="H67">
        <v>3</v>
      </c>
      <c r="I67">
        <v>1658.35</v>
      </c>
      <c r="J67">
        <v>4975.05</v>
      </c>
      <c r="K67" t="s">
        <v>17</v>
      </c>
      <c r="L67">
        <v>1</v>
      </c>
      <c r="M67" t="s">
        <v>108</v>
      </c>
    </row>
    <row r="68" spans="1:13">
      <c r="A68">
        <v>10067</v>
      </c>
      <c r="B68">
        <v>3150</v>
      </c>
      <c r="C68">
        <v>40</v>
      </c>
      <c r="D68" t="s">
        <v>13</v>
      </c>
      <c r="E68" t="s">
        <v>43</v>
      </c>
      <c r="F68" t="s">
        <v>31</v>
      </c>
      <c r="G68" t="s">
        <v>56</v>
      </c>
      <c r="H68">
        <v>5</v>
      </c>
      <c r="I68">
        <v>2712.51</v>
      </c>
      <c r="J68">
        <v>13562.55</v>
      </c>
      <c r="K68" t="s">
        <v>39</v>
      </c>
      <c r="L68">
        <v>5</v>
      </c>
      <c r="M68" t="s">
        <v>109</v>
      </c>
    </row>
    <row r="69" spans="1:13">
      <c r="A69">
        <v>10068</v>
      </c>
      <c r="B69">
        <v>3303</v>
      </c>
      <c r="C69">
        <v>29</v>
      </c>
      <c r="D69" t="s">
        <v>13</v>
      </c>
      <c r="E69" t="s">
        <v>20</v>
      </c>
      <c r="F69" t="s">
        <v>38</v>
      </c>
      <c r="G69" t="s">
        <v>69</v>
      </c>
      <c r="H69">
        <v>1</v>
      </c>
      <c r="I69">
        <v>1936.81</v>
      </c>
      <c r="J69">
        <v>1936.81</v>
      </c>
      <c r="K69" t="s">
        <v>34</v>
      </c>
      <c r="L69">
        <v>5</v>
      </c>
      <c r="M69" t="s">
        <v>110</v>
      </c>
    </row>
    <row r="70" spans="1:13">
      <c r="A70">
        <v>10069</v>
      </c>
      <c r="B70">
        <v>2155</v>
      </c>
      <c r="C70">
        <v>55</v>
      </c>
      <c r="D70" t="s">
        <v>19</v>
      </c>
      <c r="E70" t="s">
        <v>30</v>
      </c>
      <c r="F70" t="s">
        <v>24</v>
      </c>
      <c r="G70" t="s">
        <v>32</v>
      </c>
      <c r="H70">
        <v>3</v>
      </c>
      <c r="I70">
        <v>4662.67</v>
      </c>
      <c r="J70">
        <v>13988.01</v>
      </c>
      <c r="K70" t="s">
        <v>26</v>
      </c>
      <c r="L70">
        <v>4</v>
      </c>
      <c r="M70" t="s">
        <v>111</v>
      </c>
    </row>
    <row r="71" spans="1:13">
      <c r="A71">
        <v>10070</v>
      </c>
      <c r="B71">
        <v>4981</v>
      </c>
      <c r="C71">
        <v>19</v>
      </c>
      <c r="D71" t="s">
        <v>13</v>
      </c>
      <c r="E71" t="s">
        <v>20</v>
      </c>
      <c r="F71" t="s">
        <v>38</v>
      </c>
      <c r="G71" t="s">
        <v>60</v>
      </c>
      <c r="H71">
        <v>4</v>
      </c>
      <c r="I71">
        <v>4012.75</v>
      </c>
      <c r="J71">
        <v>16051</v>
      </c>
      <c r="K71" t="s">
        <v>17</v>
      </c>
      <c r="L71">
        <v>3</v>
      </c>
      <c r="M71" t="s">
        <v>112</v>
      </c>
    </row>
    <row r="72" spans="1:13">
      <c r="A72">
        <v>10071</v>
      </c>
      <c r="B72">
        <v>2313</v>
      </c>
      <c r="C72">
        <v>47</v>
      </c>
      <c r="D72" t="s">
        <v>19</v>
      </c>
      <c r="E72" t="s">
        <v>43</v>
      </c>
      <c r="F72" t="s">
        <v>21</v>
      </c>
      <c r="G72" t="s">
        <v>32</v>
      </c>
      <c r="H72">
        <v>4</v>
      </c>
      <c r="I72">
        <v>4346.75</v>
      </c>
      <c r="J72">
        <v>17387</v>
      </c>
      <c r="K72" t="s">
        <v>39</v>
      </c>
      <c r="L72">
        <v>5</v>
      </c>
      <c r="M72" t="s">
        <v>113</v>
      </c>
    </row>
    <row r="73" spans="1:13">
      <c r="A73">
        <v>10072</v>
      </c>
      <c r="B73">
        <v>4643</v>
      </c>
      <c r="C73">
        <v>33</v>
      </c>
      <c r="D73" t="s">
        <v>13</v>
      </c>
      <c r="E73" t="s">
        <v>55</v>
      </c>
      <c r="F73" t="s">
        <v>31</v>
      </c>
      <c r="G73" t="s">
        <v>41</v>
      </c>
      <c r="H73">
        <v>4</v>
      </c>
      <c r="I73">
        <v>908.65</v>
      </c>
      <c r="J73">
        <v>3634.6</v>
      </c>
      <c r="K73" t="s">
        <v>17</v>
      </c>
      <c r="L73">
        <v>5</v>
      </c>
      <c r="M73" t="s">
        <v>114</v>
      </c>
    </row>
    <row r="74" spans="1:13">
      <c r="A74">
        <v>10073</v>
      </c>
      <c r="B74">
        <v>2648</v>
      </c>
      <c r="C74">
        <v>52</v>
      </c>
      <c r="D74" t="s">
        <v>13</v>
      </c>
      <c r="E74" t="s">
        <v>53</v>
      </c>
      <c r="F74" t="s">
        <v>24</v>
      </c>
      <c r="G74" t="s">
        <v>32</v>
      </c>
      <c r="H74">
        <v>3</v>
      </c>
      <c r="I74">
        <v>3002.83</v>
      </c>
      <c r="J74">
        <v>9008.49</v>
      </c>
      <c r="K74" t="s">
        <v>17</v>
      </c>
      <c r="L74">
        <v>4</v>
      </c>
      <c r="M74" t="s">
        <v>115</v>
      </c>
    </row>
    <row r="75" spans="1:13">
      <c r="A75">
        <v>10074</v>
      </c>
      <c r="B75">
        <v>3312</v>
      </c>
      <c r="C75">
        <v>40</v>
      </c>
      <c r="D75" t="s">
        <v>13</v>
      </c>
      <c r="E75" t="s">
        <v>55</v>
      </c>
      <c r="F75" t="s">
        <v>24</v>
      </c>
      <c r="G75" t="s">
        <v>32</v>
      </c>
      <c r="H75">
        <v>2</v>
      </c>
      <c r="I75">
        <v>1309.48</v>
      </c>
      <c r="J75">
        <v>2618.96</v>
      </c>
      <c r="K75" t="s">
        <v>34</v>
      </c>
      <c r="L75">
        <v>3</v>
      </c>
      <c r="M75" t="s">
        <v>116</v>
      </c>
    </row>
    <row r="76" spans="1:13">
      <c r="A76">
        <v>10075</v>
      </c>
      <c r="B76">
        <v>3679</v>
      </c>
      <c r="C76">
        <v>40</v>
      </c>
      <c r="D76" t="s">
        <v>13</v>
      </c>
      <c r="E76" t="s">
        <v>55</v>
      </c>
      <c r="F76" t="s">
        <v>38</v>
      </c>
      <c r="G76" t="s">
        <v>62</v>
      </c>
      <c r="H76">
        <v>5</v>
      </c>
      <c r="I76">
        <v>4380.72</v>
      </c>
      <c r="J76">
        <v>21903.599999999999</v>
      </c>
      <c r="K76" t="s">
        <v>34</v>
      </c>
      <c r="L76">
        <v>2</v>
      </c>
      <c r="M76" t="s">
        <v>117</v>
      </c>
    </row>
    <row r="77" spans="1:13">
      <c r="A77">
        <v>10076</v>
      </c>
      <c r="B77">
        <v>4799</v>
      </c>
      <c r="C77">
        <v>57</v>
      </c>
      <c r="D77" t="s">
        <v>13</v>
      </c>
      <c r="E77" t="s">
        <v>14</v>
      </c>
      <c r="F77" t="s">
        <v>21</v>
      </c>
      <c r="G77" t="s">
        <v>28</v>
      </c>
      <c r="H77">
        <v>1</v>
      </c>
      <c r="I77">
        <v>370.59</v>
      </c>
      <c r="J77">
        <v>370.59</v>
      </c>
      <c r="K77" t="s">
        <v>17</v>
      </c>
      <c r="L77">
        <v>1</v>
      </c>
      <c r="M77" t="s">
        <v>118</v>
      </c>
    </row>
    <row r="78" spans="1:13">
      <c r="A78">
        <v>10077</v>
      </c>
      <c r="B78">
        <v>2243</v>
      </c>
      <c r="C78">
        <v>36</v>
      </c>
      <c r="D78" t="s">
        <v>13</v>
      </c>
      <c r="E78" t="s">
        <v>53</v>
      </c>
      <c r="F78" t="s">
        <v>21</v>
      </c>
      <c r="G78" t="s">
        <v>16</v>
      </c>
      <c r="H78">
        <v>4</v>
      </c>
      <c r="I78">
        <v>797</v>
      </c>
      <c r="J78">
        <v>3188</v>
      </c>
      <c r="K78" t="s">
        <v>22</v>
      </c>
      <c r="L78">
        <v>4</v>
      </c>
      <c r="M78" t="s">
        <v>119</v>
      </c>
    </row>
    <row r="79" spans="1:13">
      <c r="A79">
        <v>10078</v>
      </c>
      <c r="B79">
        <v>3372</v>
      </c>
      <c r="C79">
        <v>58</v>
      </c>
      <c r="D79" t="s">
        <v>13</v>
      </c>
      <c r="E79" t="s">
        <v>55</v>
      </c>
      <c r="F79" t="s">
        <v>31</v>
      </c>
      <c r="G79" t="s">
        <v>41</v>
      </c>
      <c r="H79">
        <v>3</v>
      </c>
      <c r="I79">
        <v>2067.4699999999998</v>
      </c>
      <c r="J79">
        <v>6202.41</v>
      </c>
      <c r="K79" t="s">
        <v>34</v>
      </c>
      <c r="L79">
        <v>1</v>
      </c>
      <c r="M79" t="s">
        <v>120</v>
      </c>
    </row>
    <row r="80" spans="1:13">
      <c r="A80">
        <v>10079</v>
      </c>
      <c r="B80">
        <v>4634</v>
      </c>
      <c r="C80">
        <v>34</v>
      </c>
      <c r="D80" t="s">
        <v>13</v>
      </c>
      <c r="E80" t="s">
        <v>14</v>
      </c>
      <c r="F80" t="s">
        <v>38</v>
      </c>
      <c r="G80" t="s">
        <v>25</v>
      </c>
      <c r="H80">
        <v>5</v>
      </c>
      <c r="I80">
        <v>2189.84</v>
      </c>
      <c r="J80">
        <v>10949.2</v>
      </c>
      <c r="K80" t="s">
        <v>26</v>
      </c>
      <c r="L80">
        <v>2</v>
      </c>
      <c r="M80" t="s">
        <v>121</v>
      </c>
    </row>
    <row r="81" spans="1:13">
      <c r="A81">
        <v>10080</v>
      </c>
      <c r="B81">
        <v>3214</v>
      </c>
      <c r="C81">
        <v>35</v>
      </c>
      <c r="D81" t="s">
        <v>13</v>
      </c>
      <c r="E81" t="s">
        <v>36</v>
      </c>
      <c r="F81" t="s">
        <v>21</v>
      </c>
      <c r="G81" t="s">
        <v>32</v>
      </c>
      <c r="H81">
        <v>4</v>
      </c>
      <c r="I81">
        <v>1602.93</v>
      </c>
      <c r="J81">
        <v>6411.72</v>
      </c>
      <c r="K81" t="s">
        <v>22</v>
      </c>
      <c r="L81">
        <v>2</v>
      </c>
      <c r="M81" t="s">
        <v>122</v>
      </c>
    </row>
    <row r="82" spans="1:13">
      <c r="A82">
        <v>10081</v>
      </c>
      <c r="B82">
        <v>2928</v>
      </c>
      <c r="C82">
        <v>42</v>
      </c>
      <c r="D82" t="s">
        <v>19</v>
      </c>
      <c r="E82" t="s">
        <v>30</v>
      </c>
      <c r="F82" t="s">
        <v>21</v>
      </c>
      <c r="G82" t="s">
        <v>69</v>
      </c>
      <c r="H82">
        <v>3</v>
      </c>
      <c r="I82">
        <v>751.5</v>
      </c>
      <c r="J82">
        <v>2254.5</v>
      </c>
      <c r="K82" t="s">
        <v>26</v>
      </c>
      <c r="L82">
        <v>3</v>
      </c>
      <c r="M82" t="s">
        <v>123</v>
      </c>
    </row>
    <row r="83" spans="1:13">
      <c r="A83">
        <v>10082</v>
      </c>
      <c r="B83">
        <v>3752</v>
      </c>
      <c r="C83">
        <v>56</v>
      </c>
      <c r="D83" t="s">
        <v>19</v>
      </c>
      <c r="E83" t="s">
        <v>53</v>
      </c>
      <c r="F83" t="s">
        <v>21</v>
      </c>
      <c r="G83" t="s">
        <v>44</v>
      </c>
      <c r="H83">
        <v>4</v>
      </c>
      <c r="I83">
        <v>858.03</v>
      </c>
      <c r="J83">
        <v>3432.12</v>
      </c>
      <c r="K83" t="s">
        <v>17</v>
      </c>
      <c r="L83">
        <v>5</v>
      </c>
      <c r="M83" t="s">
        <v>124</v>
      </c>
    </row>
    <row r="84" spans="1:13">
      <c r="A84">
        <v>10083</v>
      </c>
      <c r="B84">
        <v>3175</v>
      </c>
      <c r="C84">
        <v>18</v>
      </c>
      <c r="D84" t="s">
        <v>19</v>
      </c>
      <c r="E84" t="s">
        <v>43</v>
      </c>
      <c r="F84" t="s">
        <v>24</v>
      </c>
      <c r="G84" t="s">
        <v>41</v>
      </c>
      <c r="H84">
        <v>4</v>
      </c>
      <c r="I84">
        <v>1794.34</v>
      </c>
      <c r="J84">
        <v>7177.36</v>
      </c>
      <c r="K84" t="s">
        <v>17</v>
      </c>
      <c r="L84">
        <v>2</v>
      </c>
      <c r="M84" t="s">
        <v>125</v>
      </c>
    </row>
    <row r="85" spans="1:13">
      <c r="A85">
        <v>10084</v>
      </c>
      <c r="B85">
        <v>2695</v>
      </c>
      <c r="C85">
        <v>51</v>
      </c>
      <c r="D85" t="s">
        <v>19</v>
      </c>
      <c r="E85" t="s">
        <v>53</v>
      </c>
      <c r="F85" t="s">
        <v>38</v>
      </c>
      <c r="G85" t="s">
        <v>32</v>
      </c>
      <c r="H85">
        <v>5</v>
      </c>
      <c r="I85">
        <v>4768.7299999999996</v>
      </c>
      <c r="J85">
        <v>23843.65</v>
      </c>
      <c r="K85" t="s">
        <v>34</v>
      </c>
      <c r="L85">
        <v>5</v>
      </c>
      <c r="M85" t="s">
        <v>126</v>
      </c>
    </row>
    <row r="86" spans="1:13">
      <c r="A86">
        <v>10085</v>
      </c>
      <c r="B86">
        <v>3345</v>
      </c>
      <c r="C86">
        <v>36</v>
      </c>
      <c r="D86" t="s">
        <v>19</v>
      </c>
      <c r="E86" t="s">
        <v>36</v>
      </c>
      <c r="F86" t="s">
        <v>38</v>
      </c>
      <c r="G86" t="s">
        <v>62</v>
      </c>
      <c r="H86">
        <v>4</v>
      </c>
      <c r="I86">
        <v>1274.81</v>
      </c>
      <c r="J86">
        <v>5099.24</v>
      </c>
      <c r="K86" t="s">
        <v>26</v>
      </c>
      <c r="L86">
        <v>3</v>
      </c>
      <c r="M86" t="s">
        <v>127</v>
      </c>
    </row>
    <row r="87" spans="1:13">
      <c r="A87">
        <v>10086</v>
      </c>
      <c r="B87">
        <v>3393</v>
      </c>
      <c r="C87">
        <v>25</v>
      </c>
      <c r="D87" t="s">
        <v>13</v>
      </c>
      <c r="E87" t="s">
        <v>36</v>
      </c>
      <c r="F87" t="s">
        <v>31</v>
      </c>
      <c r="G87" t="s">
        <v>69</v>
      </c>
      <c r="H87">
        <v>4</v>
      </c>
      <c r="I87">
        <v>3812.22</v>
      </c>
      <c r="J87">
        <v>15248.88</v>
      </c>
      <c r="K87" t="s">
        <v>26</v>
      </c>
      <c r="L87">
        <v>4</v>
      </c>
      <c r="M87" t="s">
        <v>128</v>
      </c>
    </row>
    <row r="88" spans="1:13">
      <c r="A88">
        <v>10087</v>
      </c>
      <c r="B88">
        <v>3869</v>
      </c>
      <c r="C88">
        <v>32</v>
      </c>
      <c r="D88" t="s">
        <v>19</v>
      </c>
      <c r="E88" t="s">
        <v>53</v>
      </c>
      <c r="F88" t="s">
        <v>50</v>
      </c>
      <c r="G88" t="s">
        <v>28</v>
      </c>
      <c r="H88">
        <v>4</v>
      </c>
      <c r="I88">
        <v>1513.49</v>
      </c>
      <c r="J88">
        <v>6053.96</v>
      </c>
      <c r="K88" t="s">
        <v>34</v>
      </c>
      <c r="L88">
        <v>5</v>
      </c>
      <c r="M88" t="s">
        <v>129</v>
      </c>
    </row>
    <row r="89" spans="1:13">
      <c r="A89">
        <v>10088</v>
      </c>
      <c r="B89">
        <v>3795</v>
      </c>
      <c r="C89">
        <v>54</v>
      </c>
      <c r="D89" t="s">
        <v>19</v>
      </c>
      <c r="E89" t="s">
        <v>30</v>
      </c>
      <c r="F89" t="s">
        <v>38</v>
      </c>
      <c r="G89" t="s">
        <v>56</v>
      </c>
      <c r="H89">
        <v>5</v>
      </c>
      <c r="I89">
        <v>475.03</v>
      </c>
      <c r="J89">
        <v>2375.15</v>
      </c>
      <c r="K89" t="s">
        <v>17</v>
      </c>
      <c r="L89">
        <v>3</v>
      </c>
      <c r="M89" t="s">
        <v>130</v>
      </c>
    </row>
    <row r="90" spans="1:13">
      <c r="A90">
        <v>10089</v>
      </c>
      <c r="B90">
        <v>4944</v>
      </c>
      <c r="C90">
        <v>44</v>
      </c>
      <c r="D90" t="s">
        <v>13</v>
      </c>
      <c r="E90" t="s">
        <v>30</v>
      </c>
      <c r="F90" t="s">
        <v>31</v>
      </c>
      <c r="G90" t="s">
        <v>25</v>
      </c>
      <c r="H90">
        <v>2</v>
      </c>
      <c r="I90">
        <v>375.45</v>
      </c>
      <c r="J90">
        <v>750.9</v>
      </c>
      <c r="K90" t="s">
        <v>34</v>
      </c>
      <c r="L90">
        <v>1</v>
      </c>
      <c r="M90" t="s">
        <v>131</v>
      </c>
    </row>
    <row r="91" spans="1:13">
      <c r="A91">
        <v>10090</v>
      </c>
      <c r="B91">
        <v>3277</v>
      </c>
      <c r="C91">
        <v>50</v>
      </c>
      <c r="D91" t="s">
        <v>13</v>
      </c>
      <c r="E91" t="s">
        <v>30</v>
      </c>
      <c r="F91" t="s">
        <v>24</v>
      </c>
      <c r="G91" t="s">
        <v>32</v>
      </c>
      <c r="H91">
        <v>5</v>
      </c>
      <c r="I91">
        <v>1017.72</v>
      </c>
      <c r="J91">
        <v>5088.6000000000004</v>
      </c>
      <c r="K91" t="s">
        <v>26</v>
      </c>
      <c r="L91">
        <v>5</v>
      </c>
      <c r="M91" t="s">
        <v>132</v>
      </c>
    </row>
    <row r="92" spans="1:13">
      <c r="A92">
        <v>10091</v>
      </c>
      <c r="B92">
        <v>2461</v>
      </c>
      <c r="C92">
        <v>19</v>
      </c>
      <c r="D92" t="s">
        <v>19</v>
      </c>
      <c r="E92" t="s">
        <v>36</v>
      </c>
      <c r="F92" t="s">
        <v>21</v>
      </c>
      <c r="G92" t="s">
        <v>56</v>
      </c>
      <c r="H92">
        <v>4</v>
      </c>
      <c r="I92">
        <v>2471.8000000000002</v>
      </c>
      <c r="J92">
        <v>9887.2000000000007</v>
      </c>
      <c r="K92" t="s">
        <v>39</v>
      </c>
      <c r="L92">
        <v>4</v>
      </c>
      <c r="M92" t="s">
        <v>133</v>
      </c>
    </row>
    <row r="93" spans="1:13">
      <c r="A93">
        <v>10092</v>
      </c>
      <c r="B93">
        <v>3798</v>
      </c>
      <c r="C93">
        <v>42</v>
      </c>
      <c r="D93" t="s">
        <v>13</v>
      </c>
      <c r="E93" t="s">
        <v>30</v>
      </c>
      <c r="F93" t="s">
        <v>15</v>
      </c>
      <c r="G93" t="s">
        <v>69</v>
      </c>
      <c r="H93">
        <v>1</v>
      </c>
      <c r="I93">
        <v>3852.74</v>
      </c>
      <c r="J93">
        <v>3852.74</v>
      </c>
      <c r="K93" t="s">
        <v>26</v>
      </c>
      <c r="L93">
        <v>3</v>
      </c>
      <c r="M93" t="s">
        <v>134</v>
      </c>
    </row>
    <row r="94" spans="1:13">
      <c r="A94">
        <v>10093</v>
      </c>
      <c r="B94">
        <v>2564</v>
      </c>
      <c r="C94">
        <v>40</v>
      </c>
      <c r="D94" t="s">
        <v>19</v>
      </c>
      <c r="E94" t="s">
        <v>20</v>
      </c>
      <c r="F94" t="s">
        <v>31</v>
      </c>
      <c r="G94" t="s">
        <v>32</v>
      </c>
      <c r="H94">
        <v>2</v>
      </c>
      <c r="I94">
        <v>3725.43</v>
      </c>
      <c r="J94">
        <v>7450.86</v>
      </c>
      <c r="K94" t="s">
        <v>26</v>
      </c>
      <c r="L94">
        <v>1</v>
      </c>
      <c r="M94" t="s">
        <v>135</v>
      </c>
    </row>
    <row r="95" spans="1:13">
      <c r="A95">
        <v>10094</v>
      </c>
      <c r="B95">
        <v>2469</v>
      </c>
      <c r="C95">
        <v>52</v>
      </c>
      <c r="D95" t="s">
        <v>13</v>
      </c>
      <c r="E95" t="s">
        <v>14</v>
      </c>
      <c r="F95" t="s">
        <v>50</v>
      </c>
      <c r="G95" t="s">
        <v>56</v>
      </c>
      <c r="H95">
        <v>5</v>
      </c>
      <c r="I95">
        <v>1956.23</v>
      </c>
      <c r="J95">
        <v>9781.15</v>
      </c>
      <c r="K95" t="s">
        <v>22</v>
      </c>
      <c r="L95">
        <v>5</v>
      </c>
      <c r="M95" t="s">
        <v>136</v>
      </c>
    </row>
    <row r="96" spans="1:13">
      <c r="A96">
        <v>10095</v>
      </c>
      <c r="B96">
        <v>3478</v>
      </c>
      <c r="C96">
        <v>48</v>
      </c>
      <c r="D96" t="s">
        <v>13</v>
      </c>
      <c r="E96" t="s">
        <v>36</v>
      </c>
      <c r="F96" t="s">
        <v>24</v>
      </c>
      <c r="G96" t="s">
        <v>16</v>
      </c>
      <c r="H96">
        <v>2</v>
      </c>
      <c r="I96">
        <v>2551.9499999999998</v>
      </c>
      <c r="J96">
        <v>5103.8999999999996</v>
      </c>
      <c r="K96" t="s">
        <v>22</v>
      </c>
      <c r="L96">
        <v>4</v>
      </c>
      <c r="M96" t="s">
        <v>137</v>
      </c>
    </row>
    <row r="97" spans="1:13">
      <c r="A97">
        <v>10096</v>
      </c>
      <c r="B97">
        <v>3538</v>
      </c>
      <c r="C97">
        <v>39</v>
      </c>
      <c r="D97" t="s">
        <v>13</v>
      </c>
      <c r="E97" t="s">
        <v>14</v>
      </c>
      <c r="F97" t="s">
        <v>21</v>
      </c>
      <c r="G97" t="s">
        <v>41</v>
      </c>
      <c r="H97">
        <v>3</v>
      </c>
      <c r="I97">
        <v>4126.1499999999996</v>
      </c>
      <c r="J97">
        <v>12378.45</v>
      </c>
      <c r="K97" t="s">
        <v>22</v>
      </c>
      <c r="L97">
        <v>3</v>
      </c>
      <c r="M97" t="s">
        <v>138</v>
      </c>
    </row>
    <row r="98" spans="1:13">
      <c r="A98">
        <v>10097</v>
      </c>
      <c r="B98">
        <v>3612</v>
      </c>
      <c r="C98">
        <v>22</v>
      </c>
      <c r="D98" t="s">
        <v>13</v>
      </c>
      <c r="E98" t="s">
        <v>14</v>
      </c>
      <c r="F98" t="s">
        <v>24</v>
      </c>
      <c r="G98" t="s">
        <v>28</v>
      </c>
      <c r="H98">
        <v>1</v>
      </c>
      <c r="I98">
        <v>4240.49</v>
      </c>
      <c r="J98">
        <v>4240.49</v>
      </c>
      <c r="K98" t="s">
        <v>17</v>
      </c>
      <c r="L98">
        <v>4</v>
      </c>
      <c r="M98" t="s">
        <v>139</v>
      </c>
    </row>
    <row r="99" spans="1:13">
      <c r="A99">
        <v>10098</v>
      </c>
      <c r="B99">
        <v>4197</v>
      </c>
      <c r="C99">
        <v>21</v>
      </c>
      <c r="D99" t="s">
        <v>19</v>
      </c>
      <c r="E99" t="s">
        <v>53</v>
      </c>
      <c r="F99" t="s">
        <v>15</v>
      </c>
      <c r="G99" t="s">
        <v>60</v>
      </c>
      <c r="H99">
        <v>1</v>
      </c>
      <c r="I99">
        <v>1803.61</v>
      </c>
      <c r="J99">
        <v>1803.61</v>
      </c>
      <c r="K99" t="s">
        <v>26</v>
      </c>
      <c r="L99">
        <v>5</v>
      </c>
      <c r="M99" t="s">
        <v>140</v>
      </c>
    </row>
    <row r="100" spans="1:13">
      <c r="A100">
        <v>10099</v>
      </c>
      <c r="B100">
        <v>2715</v>
      </c>
      <c r="C100">
        <v>36</v>
      </c>
      <c r="D100" t="s">
        <v>19</v>
      </c>
      <c r="E100" t="s">
        <v>14</v>
      </c>
      <c r="F100" t="s">
        <v>38</v>
      </c>
      <c r="G100" t="s">
        <v>32</v>
      </c>
      <c r="H100">
        <v>4</v>
      </c>
      <c r="I100">
        <v>320.05</v>
      </c>
      <c r="J100">
        <v>1280.2</v>
      </c>
      <c r="K100" t="s">
        <v>22</v>
      </c>
      <c r="L100">
        <v>2</v>
      </c>
      <c r="M100" t="s">
        <v>141</v>
      </c>
    </row>
    <row r="101" spans="1:13">
      <c r="A101">
        <v>10100</v>
      </c>
      <c r="B101">
        <v>4311</v>
      </c>
      <c r="C101">
        <v>51</v>
      </c>
      <c r="D101" t="s">
        <v>13</v>
      </c>
      <c r="E101" t="s">
        <v>55</v>
      </c>
      <c r="F101" t="s">
        <v>15</v>
      </c>
      <c r="G101" t="s">
        <v>25</v>
      </c>
      <c r="H101">
        <v>4</v>
      </c>
      <c r="I101">
        <v>520.57000000000005</v>
      </c>
      <c r="J101">
        <v>2082.2800000000002</v>
      </c>
      <c r="K101" t="s">
        <v>34</v>
      </c>
      <c r="L101">
        <v>1</v>
      </c>
      <c r="M101" t="s">
        <v>142</v>
      </c>
    </row>
    <row r="102" spans="1:13">
      <c r="A102">
        <v>10101</v>
      </c>
      <c r="B102">
        <v>4125</v>
      </c>
      <c r="C102">
        <v>29</v>
      </c>
      <c r="D102" t="s">
        <v>19</v>
      </c>
      <c r="E102" t="s">
        <v>20</v>
      </c>
      <c r="F102" t="s">
        <v>24</v>
      </c>
      <c r="G102" t="s">
        <v>16</v>
      </c>
      <c r="H102">
        <v>4</v>
      </c>
      <c r="I102">
        <v>3767.69</v>
      </c>
      <c r="J102">
        <v>15070.76</v>
      </c>
      <c r="K102" t="s">
        <v>39</v>
      </c>
      <c r="L102">
        <v>5</v>
      </c>
      <c r="M102" t="s">
        <v>143</v>
      </c>
    </row>
    <row r="103" spans="1:13">
      <c r="A103">
        <v>10102</v>
      </c>
      <c r="B103">
        <v>4760</v>
      </c>
      <c r="C103">
        <v>29</v>
      </c>
      <c r="D103" t="s">
        <v>19</v>
      </c>
      <c r="E103" t="s">
        <v>36</v>
      </c>
      <c r="F103" t="s">
        <v>21</v>
      </c>
      <c r="G103" t="s">
        <v>25</v>
      </c>
      <c r="H103">
        <v>5</v>
      </c>
      <c r="I103">
        <v>1581.37</v>
      </c>
      <c r="J103">
        <v>7906.85</v>
      </c>
      <c r="K103" t="s">
        <v>26</v>
      </c>
      <c r="L103">
        <v>4</v>
      </c>
      <c r="M103" t="s">
        <v>144</v>
      </c>
    </row>
    <row r="104" spans="1:13">
      <c r="A104">
        <v>10103</v>
      </c>
      <c r="B104">
        <v>3099</v>
      </c>
      <c r="C104">
        <v>30</v>
      </c>
      <c r="D104" t="s">
        <v>19</v>
      </c>
      <c r="E104" t="s">
        <v>20</v>
      </c>
      <c r="F104" t="s">
        <v>24</v>
      </c>
      <c r="G104" t="s">
        <v>16</v>
      </c>
      <c r="H104">
        <v>3</v>
      </c>
      <c r="I104">
        <v>2562.98</v>
      </c>
      <c r="J104">
        <v>7688.94</v>
      </c>
      <c r="K104" t="s">
        <v>22</v>
      </c>
      <c r="L104">
        <v>1</v>
      </c>
      <c r="M104" t="s">
        <v>145</v>
      </c>
    </row>
    <row r="105" spans="1:13">
      <c r="A105">
        <v>10104</v>
      </c>
      <c r="B105">
        <v>3067</v>
      </c>
      <c r="C105">
        <v>22</v>
      </c>
      <c r="D105" t="s">
        <v>19</v>
      </c>
      <c r="E105" t="s">
        <v>43</v>
      </c>
      <c r="F105" t="s">
        <v>50</v>
      </c>
      <c r="G105" t="s">
        <v>56</v>
      </c>
      <c r="H105">
        <v>3</v>
      </c>
      <c r="I105">
        <v>1202.55</v>
      </c>
      <c r="J105">
        <v>3607.65</v>
      </c>
      <c r="K105" t="s">
        <v>17</v>
      </c>
      <c r="L105">
        <v>2</v>
      </c>
      <c r="M105" t="s">
        <v>146</v>
      </c>
    </row>
    <row r="106" spans="1:13">
      <c r="A106">
        <v>10105</v>
      </c>
      <c r="B106">
        <v>2532</v>
      </c>
      <c r="C106">
        <v>18</v>
      </c>
      <c r="D106" t="s">
        <v>13</v>
      </c>
      <c r="E106" t="s">
        <v>30</v>
      </c>
      <c r="F106" t="s">
        <v>38</v>
      </c>
      <c r="G106" t="s">
        <v>56</v>
      </c>
      <c r="H106">
        <v>5</v>
      </c>
      <c r="I106">
        <v>4281.43</v>
      </c>
      <c r="J106">
        <v>21407.15</v>
      </c>
      <c r="K106" t="s">
        <v>26</v>
      </c>
      <c r="L106">
        <v>2</v>
      </c>
      <c r="M106" t="s">
        <v>147</v>
      </c>
    </row>
    <row r="107" spans="1:13">
      <c r="A107">
        <v>10106</v>
      </c>
      <c r="B107">
        <v>3572</v>
      </c>
      <c r="C107">
        <v>43</v>
      </c>
      <c r="D107" t="s">
        <v>13</v>
      </c>
      <c r="E107" t="s">
        <v>36</v>
      </c>
      <c r="F107" t="s">
        <v>21</v>
      </c>
      <c r="G107" t="s">
        <v>28</v>
      </c>
      <c r="H107">
        <v>5</v>
      </c>
      <c r="I107">
        <v>2665.87</v>
      </c>
      <c r="J107">
        <v>13329.35</v>
      </c>
      <c r="K107" t="s">
        <v>22</v>
      </c>
      <c r="L107">
        <v>5</v>
      </c>
      <c r="M107" t="s">
        <v>148</v>
      </c>
    </row>
    <row r="108" spans="1:13">
      <c r="A108">
        <v>10107</v>
      </c>
      <c r="B108">
        <v>2871</v>
      </c>
      <c r="C108">
        <v>58</v>
      </c>
      <c r="D108" t="s">
        <v>19</v>
      </c>
      <c r="E108" t="s">
        <v>20</v>
      </c>
      <c r="F108" t="s">
        <v>15</v>
      </c>
      <c r="G108" t="s">
        <v>62</v>
      </c>
      <c r="H108">
        <v>4</v>
      </c>
      <c r="I108">
        <v>2777.65</v>
      </c>
      <c r="J108">
        <v>11110.6</v>
      </c>
      <c r="K108" t="s">
        <v>22</v>
      </c>
      <c r="L108">
        <v>4</v>
      </c>
      <c r="M108" t="s">
        <v>149</v>
      </c>
    </row>
    <row r="109" spans="1:13">
      <c r="A109">
        <v>10108</v>
      </c>
      <c r="B109">
        <v>3799</v>
      </c>
      <c r="C109">
        <v>25</v>
      </c>
      <c r="D109" t="s">
        <v>19</v>
      </c>
      <c r="E109" t="s">
        <v>55</v>
      </c>
      <c r="F109" t="s">
        <v>50</v>
      </c>
      <c r="G109" t="s">
        <v>32</v>
      </c>
      <c r="H109">
        <v>1</v>
      </c>
      <c r="I109">
        <v>1653.97</v>
      </c>
      <c r="J109">
        <v>1653.97</v>
      </c>
      <c r="K109" t="s">
        <v>22</v>
      </c>
      <c r="L109">
        <v>1</v>
      </c>
      <c r="M109" t="s">
        <v>150</v>
      </c>
    </row>
    <row r="110" spans="1:13">
      <c r="A110">
        <v>10109</v>
      </c>
      <c r="B110">
        <v>2964</v>
      </c>
      <c r="C110">
        <v>25</v>
      </c>
      <c r="D110" t="s">
        <v>13</v>
      </c>
      <c r="E110" t="s">
        <v>43</v>
      </c>
      <c r="F110" t="s">
        <v>38</v>
      </c>
      <c r="G110" t="s">
        <v>28</v>
      </c>
      <c r="H110">
        <v>3</v>
      </c>
      <c r="I110">
        <v>2706.4</v>
      </c>
      <c r="J110">
        <v>8119.2</v>
      </c>
      <c r="K110" t="s">
        <v>39</v>
      </c>
      <c r="L110">
        <v>1</v>
      </c>
      <c r="M110" t="s">
        <v>151</v>
      </c>
    </row>
    <row r="111" spans="1:13">
      <c r="A111">
        <v>10110</v>
      </c>
      <c r="B111">
        <v>4617</v>
      </c>
      <c r="C111">
        <v>51</v>
      </c>
      <c r="D111" t="s">
        <v>13</v>
      </c>
      <c r="E111" t="s">
        <v>55</v>
      </c>
      <c r="F111" t="s">
        <v>15</v>
      </c>
      <c r="G111" t="s">
        <v>16</v>
      </c>
      <c r="H111">
        <v>3</v>
      </c>
      <c r="I111">
        <v>309.23</v>
      </c>
      <c r="J111">
        <v>927.69</v>
      </c>
      <c r="K111" t="s">
        <v>22</v>
      </c>
      <c r="L111">
        <v>5</v>
      </c>
      <c r="M111" t="s">
        <v>152</v>
      </c>
    </row>
    <row r="112" spans="1:13">
      <c r="A112">
        <v>10111</v>
      </c>
      <c r="B112">
        <v>4258</v>
      </c>
      <c r="C112">
        <v>25</v>
      </c>
      <c r="D112" t="s">
        <v>13</v>
      </c>
      <c r="E112" t="s">
        <v>30</v>
      </c>
      <c r="F112" t="s">
        <v>31</v>
      </c>
      <c r="G112" t="s">
        <v>28</v>
      </c>
      <c r="H112">
        <v>3</v>
      </c>
      <c r="I112">
        <v>1603.29</v>
      </c>
      <c r="J112">
        <v>4809.87</v>
      </c>
      <c r="K112" t="s">
        <v>22</v>
      </c>
      <c r="L112">
        <v>2</v>
      </c>
      <c r="M112" t="s">
        <v>153</v>
      </c>
    </row>
    <row r="113" spans="1:13">
      <c r="A113">
        <v>10112</v>
      </c>
      <c r="B113">
        <v>2096</v>
      </c>
      <c r="C113">
        <v>52</v>
      </c>
      <c r="D113" t="s">
        <v>19</v>
      </c>
      <c r="E113" t="s">
        <v>20</v>
      </c>
      <c r="F113" t="s">
        <v>38</v>
      </c>
      <c r="G113" t="s">
        <v>62</v>
      </c>
      <c r="H113">
        <v>3</v>
      </c>
      <c r="I113">
        <v>1939.19</v>
      </c>
      <c r="J113">
        <v>5817.57</v>
      </c>
      <c r="K113" t="s">
        <v>22</v>
      </c>
      <c r="L113">
        <v>5</v>
      </c>
      <c r="M113" t="s">
        <v>154</v>
      </c>
    </row>
    <row r="114" spans="1:13">
      <c r="A114">
        <v>10113</v>
      </c>
      <c r="B114">
        <v>2269</v>
      </c>
      <c r="C114">
        <v>22</v>
      </c>
      <c r="D114" t="s">
        <v>19</v>
      </c>
      <c r="E114" t="s">
        <v>20</v>
      </c>
      <c r="F114" t="s">
        <v>50</v>
      </c>
      <c r="G114" t="s">
        <v>56</v>
      </c>
      <c r="H114">
        <v>3</v>
      </c>
      <c r="I114">
        <v>1634.57</v>
      </c>
      <c r="J114">
        <v>4903.71</v>
      </c>
      <c r="K114" t="s">
        <v>39</v>
      </c>
      <c r="L114">
        <v>2</v>
      </c>
      <c r="M114" t="s">
        <v>155</v>
      </c>
    </row>
    <row r="115" spans="1:13">
      <c r="A115">
        <v>10114</v>
      </c>
      <c r="B115">
        <v>4327</v>
      </c>
      <c r="C115">
        <v>23</v>
      </c>
      <c r="D115" t="s">
        <v>13</v>
      </c>
      <c r="E115" t="s">
        <v>43</v>
      </c>
      <c r="F115" t="s">
        <v>50</v>
      </c>
      <c r="G115" t="s">
        <v>16</v>
      </c>
      <c r="H115">
        <v>3</v>
      </c>
      <c r="I115">
        <v>703.98</v>
      </c>
      <c r="J115">
        <v>2111.94</v>
      </c>
      <c r="K115" t="s">
        <v>39</v>
      </c>
      <c r="L115">
        <v>4</v>
      </c>
      <c r="M115" t="s">
        <v>156</v>
      </c>
    </row>
    <row r="116" spans="1:13">
      <c r="A116">
        <v>10115</v>
      </c>
      <c r="B116">
        <v>4897</v>
      </c>
      <c r="C116">
        <v>57</v>
      </c>
      <c r="D116" t="s">
        <v>13</v>
      </c>
      <c r="E116" t="s">
        <v>55</v>
      </c>
      <c r="F116" t="s">
        <v>31</v>
      </c>
      <c r="G116" t="s">
        <v>44</v>
      </c>
      <c r="H116">
        <v>1</v>
      </c>
      <c r="I116">
        <v>2752.37</v>
      </c>
      <c r="J116">
        <v>2752.37</v>
      </c>
      <c r="K116" t="s">
        <v>39</v>
      </c>
      <c r="L116">
        <v>4</v>
      </c>
      <c r="M116" t="s">
        <v>157</v>
      </c>
    </row>
    <row r="117" spans="1:13">
      <c r="A117">
        <v>10116</v>
      </c>
      <c r="B117">
        <v>3927</v>
      </c>
      <c r="C117">
        <v>30</v>
      </c>
      <c r="D117" t="s">
        <v>19</v>
      </c>
      <c r="E117" t="s">
        <v>53</v>
      </c>
      <c r="F117" t="s">
        <v>21</v>
      </c>
      <c r="G117" t="s">
        <v>41</v>
      </c>
      <c r="H117">
        <v>2</v>
      </c>
      <c r="I117">
        <v>4005.85</v>
      </c>
      <c r="J117">
        <v>8011.7</v>
      </c>
      <c r="K117" t="s">
        <v>34</v>
      </c>
      <c r="L117">
        <v>1</v>
      </c>
      <c r="M117" t="s">
        <v>158</v>
      </c>
    </row>
    <row r="118" spans="1:13">
      <c r="A118">
        <v>10117</v>
      </c>
      <c r="B118">
        <v>2889</v>
      </c>
      <c r="C118">
        <v>50</v>
      </c>
      <c r="D118" t="s">
        <v>13</v>
      </c>
      <c r="E118" t="s">
        <v>20</v>
      </c>
      <c r="F118" t="s">
        <v>31</v>
      </c>
      <c r="G118" t="s">
        <v>32</v>
      </c>
      <c r="H118">
        <v>4</v>
      </c>
      <c r="I118">
        <v>4730.21</v>
      </c>
      <c r="J118">
        <v>18920.84</v>
      </c>
      <c r="K118" t="s">
        <v>17</v>
      </c>
      <c r="L118">
        <v>2</v>
      </c>
      <c r="M118" t="s">
        <v>159</v>
      </c>
    </row>
    <row r="119" spans="1:13">
      <c r="A119">
        <v>10118</v>
      </c>
      <c r="B119">
        <v>2152</v>
      </c>
      <c r="C119">
        <v>39</v>
      </c>
      <c r="D119" t="s">
        <v>13</v>
      </c>
      <c r="E119" t="s">
        <v>30</v>
      </c>
      <c r="F119" t="s">
        <v>38</v>
      </c>
      <c r="G119" t="s">
        <v>28</v>
      </c>
      <c r="H119">
        <v>2</v>
      </c>
      <c r="I119">
        <v>2637.26</v>
      </c>
      <c r="J119">
        <v>5274.52</v>
      </c>
      <c r="K119" t="s">
        <v>22</v>
      </c>
      <c r="L119">
        <v>2</v>
      </c>
      <c r="M119" t="s">
        <v>160</v>
      </c>
    </row>
    <row r="120" spans="1:13">
      <c r="A120">
        <v>10119</v>
      </c>
      <c r="B120">
        <v>3738</v>
      </c>
      <c r="C120">
        <v>46</v>
      </c>
      <c r="D120" t="s">
        <v>19</v>
      </c>
      <c r="E120" t="s">
        <v>20</v>
      </c>
      <c r="F120" t="s">
        <v>50</v>
      </c>
      <c r="G120" t="s">
        <v>28</v>
      </c>
      <c r="H120">
        <v>1</v>
      </c>
      <c r="I120">
        <v>3090.64</v>
      </c>
      <c r="J120">
        <v>3090.64</v>
      </c>
      <c r="K120" t="s">
        <v>22</v>
      </c>
      <c r="L120">
        <v>3</v>
      </c>
      <c r="M120" t="s">
        <v>161</v>
      </c>
    </row>
    <row r="121" spans="1:13">
      <c r="A121">
        <v>10120</v>
      </c>
      <c r="B121">
        <v>4464</v>
      </c>
      <c r="C121">
        <v>25</v>
      </c>
      <c r="D121" t="s">
        <v>13</v>
      </c>
      <c r="E121" t="s">
        <v>14</v>
      </c>
      <c r="F121" t="s">
        <v>50</v>
      </c>
      <c r="G121" t="s">
        <v>25</v>
      </c>
      <c r="H121">
        <v>2</v>
      </c>
      <c r="I121">
        <v>1667.04</v>
      </c>
      <c r="J121">
        <v>3334.08</v>
      </c>
      <c r="K121" t="s">
        <v>34</v>
      </c>
      <c r="L121">
        <v>1</v>
      </c>
      <c r="M121" t="s">
        <v>162</v>
      </c>
    </row>
    <row r="122" spans="1:13">
      <c r="A122">
        <v>10121</v>
      </c>
      <c r="B122">
        <v>2606</v>
      </c>
      <c r="C122">
        <v>46</v>
      </c>
      <c r="D122" t="s">
        <v>19</v>
      </c>
      <c r="E122" t="s">
        <v>20</v>
      </c>
      <c r="F122" t="s">
        <v>15</v>
      </c>
      <c r="G122" t="s">
        <v>69</v>
      </c>
      <c r="H122">
        <v>5</v>
      </c>
      <c r="I122">
        <v>1001.05</v>
      </c>
      <c r="J122">
        <v>5005.25</v>
      </c>
      <c r="K122" t="s">
        <v>17</v>
      </c>
      <c r="L122">
        <v>1</v>
      </c>
      <c r="M122" t="s">
        <v>163</v>
      </c>
    </row>
    <row r="123" spans="1:13">
      <c r="A123">
        <v>10122</v>
      </c>
      <c r="B123">
        <v>2489</v>
      </c>
      <c r="C123">
        <v>43</v>
      </c>
      <c r="D123" t="s">
        <v>13</v>
      </c>
      <c r="E123" t="s">
        <v>55</v>
      </c>
      <c r="F123" t="s">
        <v>31</v>
      </c>
      <c r="G123" t="s">
        <v>44</v>
      </c>
      <c r="H123">
        <v>5</v>
      </c>
      <c r="I123">
        <v>919.8</v>
      </c>
      <c r="J123">
        <v>4599</v>
      </c>
      <c r="K123" t="s">
        <v>34</v>
      </c>
      <c r="L123">
        <v>4</v>
      </c>
      <c r="M123" t="s">
        <v>164</v>
      </c>
    </row>
    <row r="124" spans="1:13">
      <c r="A124">
        <v>10123</v>
      </c>
      <c r="B124">
        <v>2152</v>
      </c>
      <c r="C124">
        <v>59</v>
      </c>
      <c r="D124" t="s">
        <v>13</v>
      </c>
      <c r="E124" t="s">
        <v>55</v>
      </c>
      <c r="F124" t="s">
        <v>24</v>
      </c>
      <c r="G124" t="s">
        <v>28</v>
      </c>
      <c r="H124">
        <v>5</v>
      </c>
      <c r="I124">
        <v>3742.1</v>
      </c>
      <c r="J124">
        <v>18710.5</v>
      </c>
      <c r="K124" t="s">
        <v>39</v>
      </c>
      <c r="L124">
        <v>3</v>
      </c>
      <c r="M124" t="s">
        <v>165</v>
      </c>
    </row>
    <row r="125" spans="1:13">
      <c r="A125">
        <v>10124</v>
      </c>
      <c r="B125">
        <v>2883</v>
      </c>
      <c r="C125">
        <v>51</v>
      </c>
      <c r="D125" t="s">
        <v>19</v>
      </c>
      <c r="E125" t="s">
        <v>55</v>
      </c>
      <c r="F125" t="s">
        <v>24</v>
      </c>
      <c r="G125" t="s">
        <v>62</v>
      </c>
      <c r="H125">
        <v>3</v>
      </c>
      <c r="I125">
        <v>3752.01</v>
      </c>
      <c r="J125">
        <v>11256.03</v>
      </c>
      <c r="K125" t="s">
        <v>34</v>
      </c>
      <c r="L125">
        <v>2</v>
      </c>
      <c r="M125" t="s">
        <v>166</v>
      </c>
    </row>
    <row r="126" spans="1:13">
      <c r="A126">
        <v>10125</v>
      </c>
      <c r="B126">
        <v>2865</v>
      </c>
      <c r="C126">
        <v>19</v>
      </c>
      <c r="D126" t="s">
        <v>19</v>
      </c>
      <c r="E126" t="s">
        <v>53</v>
      </c>
      <c r="F126" t="s">
        <v>50</v>
      </c>
      <c r="G126" t="s">
        <v>60</v>
      </c>
      <c r="H126">
        <v>2</v>
      </c>
      <c r="I126">
        <v>1142.95</v>
      </c>
      <c r="J126">
        <v>2285.9</v>
      </c>
      <c r="K126" t="s">
        <v>34</v>
      </c>
      <c r="L126">
        <v>4</v>
      </c>
      <c r="M126" t="s">
        <v>167</v>
      </c>
    </row>
    <row r="127" spans="1:13">
      <c r="A127">
        <v>10126</v>
      </c>
      <c r="B127">
        <v>4178</v>
      </c>
      <c r="C127">
        <v>31</v>
      </c>
      <c r="D127" t="s">
        <v>19</v>
      </c>
      <c r="E127" t="s">
        <v>14</v>
      </c>
      <c r="F127" t="s">
        <v>21</v>
      </c>
      <c r="G127" t="s">
        <v>56</v>
      </c>
      <c r="H127">
        <v>2</v>
      </c>
      <c r="I127">
        <v>2243.73</v>
      </c>
      <c r="J127">
        <v>4487.46</v>
      </c>
      <c r="K127" t="s">
        <v>17</v>
      </c>
      <c r="L127">
        <v>4</v>
      </c>
      <c r="M127" t="s">
        <v>168</v>
      </c>
    </row>
    <row r="128" spans="1:13">
      <c r="A128">
        <v>10127</v>
      </c>
      <c r="B128">
        <v>3756</v>
      </c>
      <c r="C128">
        <v>56</v>
      </c>
      <c r="D128" t="s">
        <v>19</v>
      </c>
      <c r="E128" t="s">
        <v>36</v>
      </c>
      <c r="F128" t="s">
        <v>38</v>
      </c>
      <c r="G128" t="s">
        <v>69</v>
      </c>
      <c r="H128">
        <v>4</v>
      </c>
      <c r="I128">
        <v>3092.48</v>
      </c>
      <c r="J128">
        <v>12369.92</v>
      </c>
      <c r="K128" t="s">
        <v>39</v>
      </c>
      <c r="L128">
        <v>3</v>
      </c>
      <c r="M128" t="s">
        <v>169</v>
      </c>
    </row>
    <row r="129" spans="1:13">
      <c r="A129">
        <v>10128</v>
      </c>
      <c r="B129">
        <v>4663</v>
      </c>
      <c r="C129">
        <v>39</v>
      </c>
      <c r="D129" t="s">
        <v>13</v>
      </c>
      <c r="E129" t="s">
        <v>14</v>
      </c>
      <c r="F129" t="s">
        <v>15</v>
      </c>
      <c r="G129" t="s">
        <v>32</v>
      </c>
      <c r="H129">
        <v>1</v>
      </c>
      <c r="I129">
        <v>888.83</v>
      </c>
      <c r="J129">
        <v>888.83</v>
      </c>
      <c r="K129" t="s">
        <v>34</v>
      </c>
      <c r="L129">
        <v>1</v>
      </c>
      <c r="M129" t="s">
        <v>170</v>
      </c>
    </row>
    <row r="130" spans="1:13">
      <c r="A130">
        <v>10129</v>
      </c>
      <c r="B130">
        <v>3890</v>
      </c>
      <c r="C130">
        <v>45</v>
      </c>
      <c r="D130" t="s">
        <v>19</v>
      </c>
      <c r="E130" t="s">
        <v>30</v>
      </c>
      <c r="F130" t="s">
        <v>31</v>
      </c>
      <c r="G130" t="s">
        <v>28</v>
      </c>
      <c r="H130">
        <v>3</v>
      </c>
      <c r="I130">
        <v>3991.23</v>
      </c>
      <c r="J130">
        <v>11973.69</v>
      </c>
      <c r="K130" t="s">
        <v>26</v>
      </c>
      <c r="L130">
        <v>3</v>
      </c>
      <c r="M130" t="s">
        <v>171</v>
      </c>
    </row>
    <row r="131" spans="1:13">
      <c r="A131">
        <v>10130</v>
      </c>
      <c r="B131">
        <v>2266</v>
      </c>
      <c r="C131">
        <v>56</v>
      </c>
      <c r="D131" t="s">
        <v>13</v>
      </c>
      <c r="E131" t="s">
        <v>20</v>
      </c>
      <c r="F131" t="s">
        <v>15</v>
      </c>
      <c r="G131" t="s">
        <v>44</v>
      </c>
      <c r="H131">
        <v>3</v>
      </c>
      <c r="I131">
        <v>3213.96</v>
      </c>
      <c r="J131">
        <v>9641.8799999999992</v>
      </c>
      <c r="K131" t="s">
        <v>39</v>
      </c>
      <c r="L131">
        <v>4</v>
      </c>
      <c r="M131" t="s">
        <v>172</v>
      </c>
    </row>
    <row r="132" spans="1:13">
      <c r="A132">
        <v>10131</v>
      </c>
      <c r="B132">
        <v>3888</v>
      </c>
      <c r="C132">
        <v>38</v>
      </c>
      <c r="D132" t="s">
        <v>13</v>
      </c>
      <c r="E132" t="s">
        <v>43</v>
      </c>
      <c r="F132" t="s">
        <v>15</v>
      </c>
      <c r="G132" t="s">
        <v>25</v>
      </c>
      <c r="H132">
        <v>5</v>
      </c>
      <c r="I132">
        <v>3191.54</v>
      </c>
      <c r="J132">
        <v>15957.7</v>
      </c>
      <c r="K132" t="s">
        <v>26</v>
      </c>
      <c r="L132">
        <v>4</v>
      </c>
      <c r="M132" t="s">
        <v>173</v>
      </c>
    </row>
    <row r="133" spans="1:13">
      <c r="A133">
        <v>10132</v>
      </c>
      <c r="B133">
        <v>4537</v>
      </c>
      <c r="C133">
        <v>51</v>
      </c>
      <c r="D133" t="s">
        <v>13</v>
      </c>
      <c r="E133" t="s">
        <v>36</v>
      </c>
      <c r="F133" t="s">
        <v>24</v>
      </c>
      <c r="G133" t="s">
        <v>16</v>
      </c>
      <c r="H133">
        <v>1</v>
      </c>
      <c r="I133">
        <v>3595.68</v>
      </c>
      <c r="J133">
        <v>3595.68</v>
      </c>
      <c r="K133" t="s">
        <v>34</v>
      </c>
      <c r="L133">
        <v>2</v>
      </c>
      <c r="M133" t="s">
        <v>174</v>
      </c>
    </row>
    <row r="134" spans="1:13">
      <c r="A134">
        <v>10133</v>
      </c>
      <c r="B134">
        <v>3874</v>
      </c>
      <c r="C134">
        <v>19</v>
      </c>
      <c r="D134" t="s">
        <v>19</v>
      </c>
      <c r="E134" t="s">
        <v>53</v>
      </c>
      <c r="F134" t="s">
        <v>31</v>
      </c>
      <c r="G134" t="s">
        <v>28</v>
      </c>
      <c r="H134">
        <v>3</v>
      </c>
      <c r="I134">
        <v>4939.76</v>
      </c>
      <c r="J134">
        <v>14819.28</v>
      </c>
      <c r="K134" t="s">
        <v>39</v>
      </c>
      <c r="L134">
        <v>1</v>
      </c>
      <c r="M134" t="s">
        <v>175</v>
      </c>
    </row>
    <row r="135" spans="1:13">
      <c r="A135">
        <v>10134</v>
      </c>
      <c r="B135">
        <v>4518</v>
      </c>
      <c r="C135">
        <v>49</v>
      </c>
      <c r="D135" t="s">
        <v>19</v>
      </c>
      <c r="E135" t="s">
        <v>30</v>
      </c>
      <c r="F135" t="s">
        <v>15</v>
      </c>
      <c r="G135" t="s">
        <v>41</v>
      </c>
      <c r="H135">
        <v>3</v>
      </c>
      <c r="I135">
        <v>2943.25</v>
      </c>
      <c r="J135">
        <v>8829.75</v>
      </c>
      <c r="K135" t="s">
        <v>17</v>
      </c>
      <c r="L135">
        <v>4</v>
      </c>
      <c r="M135" t="s">
        <v>176</v>
      </c>
    </row>
    <row r="136" spans="1:13">
      <c r="A136">
        <v>10135</v>
      </c>
      <c r="B136">
        <v>4754</v>
      </c>
      <c r="C136">
        <v>56</v>
      </c>
      <c r="D136" t="s">
        <v>13</v>
      </c>
      <c r="E136" t="s">
        <v>36</v>
      </c>
      <c r="F136" t="s">
        <v>15</v>
      </c>
      <c r="G136" t="s">
        <v>69</v>
      </c>
      <c r="H136">
        <v>5</v>
      </c>
      <c r="I136">
        <v>4362.76</v>
      </c>
      <c r="J136">
        <v>21813.8</v>
      </c>
      <c r="K136" t="s">
        <v>26</v>
      </c>
      <c r="L136">
        <v>3</v>
      </c>
      <c r="M136" t="s">
        <v>177</v>
      </c>
    </row>
    <row r="137" spans="1:13">
      <c r="A137">
        <v>10136</v>
      </c>
      <c r="B137">
        <v>2327</v>
      </c>
      <c r="C137">
        <v>46</v>
      </c>
      <c r="D137" t="s">
        <v>19</v>
      </c>
      <c r="E137" t="s">
        <v>20</v>
      </c>
      <c r="F137" t="s">
        <v>15</v>
      </c>
      <c r="G137" t="s">
        <v>44</v>
      </c>
      <c r="H137">
        <v>5</v>
      </c>
      <c r="I137">
        <v>2267.9299999999998</v>
      </c>
      <c r="J137">
        <v>11339.65</v>
      </c>
      <c r="K137" t="s">
        <v>34</v>
      </c>
      <c r="L137">
        <v>1</v>
      </c>
      <c r="M137" t="s">
        <v>178</v>
      </c>
    </row>
    <row r="138" spans="1:13">
      <c r="A138">
        <v>10137</v>
      </c>
      <c r="B138">
        <v>4224</v>
      </c>
      <c r="C138">
        <v>29</v>
      </c>
      <c r="D138" t="s">
        <v>13</v>
      </c>
      <c r="E138" t="s">
        <v>55</v>
      </c>
      <c r="F138" t="s">
        <v>31</v>
      </c>
      <c r="G138" t="s">
        <v>69</v>
      </c>
      <c r="H138">
        <v>1</v>
      </c>
      <c r="I138">
        <v>3376.01</v>
      </c>
      <c r="J138">
        <v>3376.01</v>
      </c>
      <c r="K138" t="s">
        <v>26</v>
      </c>
      <c r="L138">
        <v>4</v>
      </c>
      <c r="M138" t="s">
        <v>179</v>
      </c>
    </row>
    <row r="139" spans="1:13">
      <c r="A139">
        <v>10138</v>
      </c>
      <c r="B139">
        <v>3590</v>
      </c>
      <c r="C139">
        <v>53</v>
      </c>
      <c r="D139" t="s">
        <v>19</v>
      </c>
      <c r="E139" t="s">
        <v>14</v>
      </c>
      <c r="F139" t="s">
        <v>38</v>
      </c>
      <c r="G139" t="s">
        <v>60</v>
      </c>
      <c r="H139">
        <v>2</v>
      </c>
      <c r="I139">
        <v>4648.7299999999996</v>
      </c>
      <c r="J139">
        <v>9297.4599999999991</v>
      </c>
      <c r="K139" t="s">
        <v>17</v>
      </c>
      <c r="L139">
        <v>2</v>
      </c>
      <c r="M139" t="s">
        <v>180</v>
      </c>
    </row>
    <row r="140" spans="1:13">
      <c r="A140">
        <v>10139</v>
      </c>
      <c r="B140">
        <v>4949</v>
      </c>
      <c r="C140">
        <v>49</v>
      </c>
      <c r="D140" t="s">
        <v>19</v>
      </c>
      <c r="E140" t="s">
        <v>30</v>
      </c>
      <c r="F140" t="s">
        <v>24</v>
      </c>
      <c r="G140" t="s">
        <v>62</v>
      </c>
      <c r="H140">
        <v>1</v>
      </c>
      <c r="I140">
        <v>3421.51</v>
      </c>
      <c r="J140">
        <v>3421.51</v>
      </c>
      <c r="K140" t="s">
        <v>39</v>
      </c>
      <c r="L140">
        <v>4</v>
      </c>
      <c r="M140" t="s">
        <v>181</v>
      </c>
    </row>
    <row r="141" spans="1:13">
      <c r="A141">
        <v>10140</v>
      </c>
      <c r="B141">
        <v>3425</v>
      </c>
      <c r="C141">
        <v>20</v>
      </c>
      <c r="D141" t="s">
        <v>19</v>
      </c>
      <c r="E141" t="s">
        <v>36</v>
      </c>
      <c r="F141" t="s">
        <v>21</v>
      </c>
      <c r="G141" t="s">
        <v>60</v>
      </c>
      <c r="H141">
        <v>3</v>
      </c>
      <c r="I141">
        <v>1724.48</v>
      </c>
      <c r="J141">
        <v>5173.4399999999996</v>
      </c>
      <c r="K141" t="s">
        <v>39</v>
      </c>
      <c r="L141">
        <v>1</v>
      </c>
      <c r="M141" t="s">
        <v>182</v>
      </c>
    </row>
    <row r="142" spans="1:13">
      <c r="A142">
        <v>10141</v>
      </c>
      <c r="B142">
        <v>4218</v>
      </c>
      <c r="C142">
        <v>21</v>
      </c>
      <c r="D142" t="s">
        <v>19</v>
      </c>
      <c r="E142" t="s">
        <v>36</v>
      </c>
      <c r="F142" t="s">
        <v>38</v>
      </c>
      <c r="G142" t="s">
        <v>16</v>
      </c>
      <c r="H142">
        <v>3</v>
      </c>
      <c r="I142">
        <v>3213.74</v>
      </c>
      <c r="J142">
        <v>9641.2199999999993</v>
      </c>
      <c r="K142" t="s">
        <v>34</v>
      </c>
      <c r="L142">
        <v>1</v>
      </c>
      <c r="M142" t="s">
        <v>183</v>
      </c>
    </row>
    <row r="143" spans="1:13">
      <c r="A143">
        <v>10142</v>
      </c>
      <c r="B143">
        <v>2020</v>
      </c>
      <c r="C143">
        <v>50</v>
      </c>
      <c r="D143" t="s">
        <v>19</v>
      </c>
      <c r="E143" t="s">
        <v>43</v>
      </c>
      <c r="F143" t="s">
        <v>24</v>
      </c>
      <c r="G143" t="s">
        <v>16</v>
      </c>
      <c r="H143">
        <v>1</v>
      </c>
      <c r="I143">
        <v>1951.2</v>
      </c>
      <c r="J143">
        <v>1951.2</v>
      </c>
      <c r="K143" t="s">
        <v>22</v>
      </c>
      <c r="L143">
        <v>5</v>
      </c>
      <c r="M143" t="s">
        <v>184</v>
      </c>
    </row>
    <row r="144" spans="1:13">
      <c r="A144">
        <v>10143</v>
      </c>
      <c r="B144">
        <v>4678</v>
      </c>
      <c r="C144">
        <v>28</v>
      </c>
      <c r="D144" t="s">
        <v>13</v>
      </c>
      <c r="E144" t="s">
        <v>43</v>
      </c>
      <c r="F144" t="s">
        <v>31</v>
      </c>
      <c r="G144" t="s">
        <v>28</v>
      </c>
      <c r="H144">
        <v>2</v>
      </c>
      <c r="I144">
        <v>1815.12</v>
      </c>
      <c r="J144">
        <v>3630.24</v>
      </c>
      <c r="K144" t="s">
        <v>17</v>
      </c>
      <c r="L144">
        <v>5</v>
      </c>
      <c r="M144" t="s">
        <v>185</v>
      </c>
    </row>
    <row r="145" spans="1:13">
      <c r="A145">
        <v>10144</v>
      </c>
      <c r="B145">
        <v>3968</v>
      </c>
      <c r="C145">
        <v>50</v>
      </c>
      <c r="D145" t="s">
        <v>19</v>
      </c>
      <c r="E145" t="s">
        <v>14</v>
      </c>
      <c r="F145" t="s">
        <v>31</v>
      </c>
      <c r="G145" t="s">
        <v>69</v>
      </c>
      <c r="H145">
        <v>2</v>
      </c>
      <c r="I145">
        <v>3167.96</v>
      </c>
      <c r="J145">
        <v>6335.92</v>
      </c>
      <c r="K145" t="s">
        <v>34</v>
      </c>
      <c r="L145">
        <v>4</v>
      </c>
      <c r="M145" t="s">
        <v>186</v>
      </c>
    </row>
    <row r="146" spans="1:13">
      <c r="A146">
        <v>10145</v>
      </c>
      <c r="B146">
        <v>4326</v>
      </c>
      <c r="C146">
        <v>51</v>
      </c>
      <c r="D146" t="s">
        <v>19</v>
      </c>
      <c r="E146" t="s">
        <v>55</v>
      </c>
      <c r="F146" t="s">
        <v>50</v>
      </c>
      <c r="G146" t="s">
        <v>56</v>
      </c>
      <c r="H146">
        <v>2</v>
      </c>
      <c r="I146">
        <v>1053.52</v>
      </c>
      <c r="J146">
        <v>2107.04</v>
      </c>
      <c r="K146" t="s">
        <v>39</v>
      </c>
      <c r="L146">
        <v>4</v>
      </c>
      <c r="M146" t="s">
        <v>187</v>
      </c>
    </row>
    <row r="147" spans="1:13">
      <c r="A147">
        <v>10146</v>
      </c>
      <c r="B147">
        <v>4533</v>
      </c>
      <c r="C147">
        <v>23</v>
      </c>
      <c r="D147" t="s">
        <v>19</v>
      </c>
      <c r="E147" t="s">
        <v>30</v>
      </c>
      <c r="F147" t="s">
        <v>15</v>
      </c>
      <c r="G147" t="s">
        <v>28</v>
      </c>
      <c r="H147">
        <v>3</v>
      </c>
      <c r="I147">
        <v>2587.67</v>
      </c>
      <c r="J147">
        <v>7763.01</v>
      </c>
      <c r="K147" t="s">
        <v>39</v>
      </c>
      <c r="L147">
        <v>4</v>
      </c>
      <c r="M147" t="s">
        <v>188</v>
      </c>
    </row>
    <row r="148" spans="1:13">
      <c r="A148">
        <v>10147</v>
      </c>
      <c r="B148">
        <v>4033</v>
      </c>
      <c r="C148">
        <v>18</v>
      </c>
      <c r="D148" t="s">
        <v>19</v>
      </c>
      <c r="E148" t="s">
        <v>30</v>
      </c>
      <c r="F148" t="s">
        <v>38</v>
      </c>
      <c r="G148" t="s">
        <v>56</v>
      </c>
      <c r="H148">
        <v>4</v>
      </c>
      <c r="I148">
        <v>4744.4799999999996</v>
      </c>
      <c r="J148">
        <v>18977.919999999998</v>
      </c>
      <c r="K148" t="s">
        <v>39</v>
      </c>
      <c r="L148">
        <v>5</v>
      </c>
      <c r="M148" t="s">
        <v>189</v>
      </c>
    </row>
    <row r="149" spans="1:13">
      <c r="A149">
        <v>10148</v>
      </c>
      <c r="B149">
        <v>4674</v>
      </c>
      <c r="C149">
        <v>55</v>
      </c>
      <c r="D149" t="s">
        <v>13</v>
      </c>
      <c r="E149" t="s">
        <v>36</v>
      </c>
      <c r="F149" t="s">
        <v>50</v>
      </c>
      <c r="G149" t="s">
        <v>60</v>
      </c>
      <c r="H149">
        <v>4</v>
      </c>
      <c r="I149">
        <v>2104.4</v>
      </c>
      <c r="J149">
        <v>8417.6</v>
      </c>
      <c r="K149" t="s">
        <v>26</v>
      </c>
      <c r="L149">
        <v>5</v>
      </c>
      <c r="M149" t="s">
        <v>190</v>
      </c>
    </row>
    <row r="150" spans="1:13">
      <c r="A150">
        <v>10149</v>
      </c>
      <c r="B150">
        <v>2609</v>
      </c>
      <c r="C150">
        <v>26</v>
      </c>
      <c r="D150" t="s">
        <v>19</v>
      </c>
      <c r="E150" t="s">
        <v>36</v>
      </c>
      <c r="F150" t="s">
        <v>24</v>
      </c>
      <c r="G150" t="s">
        <v>60</v>
      </c>
      <c r="H150">
        <v>3</v>
      </c>
      <c r="I150">
        <v>1188.1199999999999</v>
      </c>
      <c r="J150">
        <v>3564.36</v>
      </c>
      <c r="K150" t="s">
        <v>26</v>
      </c>
      <c r="L150">
        <v>3</v>
      </c>
      <c r="M150" t="s">
        <v>191</v>
      </c>
    </row>
    <row r="151" spans="1:13">
      <c r="A151">
        <v>10150</v>
      </c>
      <c r="B151">
        <v>3717</v>
      </c>
      <c r="C151">
        <v>42</v>
      </c>
      <c r="D151" t="s">
        <v>19</v>
      </c>
      <c r="E151" t="s">
        <v>36</v>
      </c>
      <c r="F151" t="s">
        <v>50</v>
      </c>
      <c r="G151" t="s">
        <v>32</v>
      </c>
      <c r="H151">
        <v>1</v>
      </c>
      <c r="I151">
        <v>2503.54</v>
      </c>
      <c r="J151">
        <v>2503.54</v>
      </c>
      <c r="K151" t="s">
        <v>22</v>
      </c>
      <c r="L151">
        <v>2</v>
      </c>
      <c r="M151" t="s">
        <v>192</v>
      </c>
    </row>
    <row r="152" spans="1:13">
      <c r="A152">
        <v>10151</v>
      </c>
      <c r="B152">
        <v>3876</v>
      </c>
      <c r="C152">
        <v>34</v>
      </c>
      <c r="D152" t="s">
        <v>19</v>
      </c>
      <c r="E152" t="s">
        <v>30</v>
      </c>
      <c r="F152" t="s">
        <v>21</v>
      </c>
      <c r="G152" t="s">
        <v>69</v>
      </c>
      <c r="H152">
        <v>1</v>
      </c>
      <c r="I152">
        <v>4252.2700000000004</v>
      </c>
      <c r="J152">
        <v>4252.2700000000004</v>
      </c>
      <c r="K152" t="s">
        <v>39</v>
      </c>
      <c r="L152">
        <v>4</v>
      </c>
      <c r="M152" t="s">
        <v>193</v>
      </c>
    </row>
    <row r="153" spans="1:13">
      <c r="A153">
        <v>10152</v>
      </c>
      <c r="B153">
        <v>2183</v>
      </c>
      <c r="C153">
        <v>50</v>
      </c>
      <c r="D153" t="s">
        <v>19</v>
      </c>
      <c r="E153" t="s">
        <v>36</v>
      </c>
      <c r="F153" t="s">
        <v>38</v>
      </c>
      <c r="G153" t="s">
        <v>28</v>
      </c>
      <c r="H153">
        <v>2</v>
      </c>
      <c r="I153">
        <v>4260.54</v>
      </c>
      <c r="J153">
        <v>8521.08</v>
      </c>
      <c r="K153" t="s">
        <v>26</v>
      </c>
      <c r="L153">
        <v>3</v>
      </c>
      <c r="M153" t="s">
        <v>194</v>
      </c>
    </row>
    <row r="154" spans="1:13">
      <c r="A154">
        <v>10153</v>
      </c>
      <c r="B154">
        <v>4365</v>
      </c>
      <c r="C154">
        <v>50</v>
      </c>
      <c r="D154" t="s">
        <v>19</v>
      </c>
      <c r="E154" t="s">
        <v>53</v>
      </c>
      <c r="F154" t="s">
        <v>15</v>
      </c>
      <c r="G154" t="s">
        <v>32</v>
      </c>
      <c r="H154">
        <v>3</v>
      </c>
      <c r="I154">
        <v>4190.68</v>
      </c>
      <c r="J154">
        <v>12572.04</v>
      </c>
      <c r="K154" t="s">
        <v>34</v>
      </c>
      <c r="L154">
        <v>4</v>
      </c>
      <c r="M154" t="s">
        <v>195</v>
      </c>
    </row>
    <row r="155" spans="1:13">
      <c r="A155">
        <v>10154</v>
      </c>
      <c r="B155">
        <v>2405</v>
      </c>
      <c r="C155">
        <v>59</v>
      </c>
      <c r="D155" t="s">
        <v>19</v>
      </c>
      <c r="E155" t="s">
        <v>20</v>
      </c>
      <c r="F155" t="s">
        <v>15</v>
      </c>
      <c r="G155" t="s">
        <v>28</v>
      </c>
      <c r="H155">
        <v>1</v>
      </c>
      <c r="I155">
        <v>353.93</v>
      </c>
      <c r="J155">
        <v>353.93</v>
      </c>
      <c r="K155" t="s">
        <v>22</v>
      </c>
      <c r="L155">
        <v>2</v>
      </c>
      <c r="M155" t="s">
        <v>196</v>
      </c>
    </row>
    <row r="156" spans="1:13">
      <c r="A156">
        <v>10155</v>
      </c>
      <c r="B156">
        <v>2505</v>
      </c>
      <c r="C156">
        <v>42</v>
      </c>
      <c r="D156" t="s">
        <v>19</v>
      </c>
      <c r="E156" t="s">
        <v>36</v>
      </c>
      <c r="F156" t="s">
        <v>21</v>
      </c>
      <c r="G156" t="s">
        <v>41</v>
      </c>
      <c r="H156">
        <v>4</v>
      </c>
      <c r="I156">
        <v>1555.09</v>
      </c>
      <c r="J156">
        <v>6220.36</v>
      </c>
      <c r="K156" t="s">
        <v>17</v>
      </c>
      <c r="L156">
        <v>5</v>
      </c>
      <c r="M156" t="s">
        <v>197</v>
      </c>
    </row>
    <row r="157" spans="1:13">
      <c r="A157">
        <v>10156</v>
      </c>
      <c r="B157">
        <v>3049</v>
      </c>
      <c r="C157">
        <v>39</v>
      </c>
      <c r="D157" t="s">
        <v>19</v>
      </c>
      <c r="E157" t="s">
        <v>14</v>
      </c>
      <c r="F157" t="s">
        <v>31</v>
      </c>
      <c r="G157" t="s">
        <v>32</v>
      </c>
      <c r="H157">
        <v>5</v>
      </c>
      <c r="I157">
        <v>4999.42</v>
      </c>
      <c r="J157">
        <v>24997.1</v>
      </c>
      <c r="K157" t="s">
        <v>22</v>
      </c>
      <c r="L157">
        <v>1</v>
      </c>
      <c r="M157" t="s">
        <v>198</v>
      </c>
    </row>
    <row r="158" spans="1:13">
      <c r="A158">
        <v>10157</v>
      </c>
      <c r="B158">
        <v>3521</v>
      </c>
      <c r="C158">
        <v>45</v>
      </c>
      <c r="D158" t="s">
        <v>13</v>
      </c>
      <c r="E158" t="s">
        <v>36</v>
      </c>
      <c r="F158" t="s">
        <v>15</v>
      </c>
      <c r="G158" t="s">
        <v>56</v>
      </c>
      <c r="H158">
        <v>5</v>
      </c>
      <c r="I158">
        <v>862.51</v>
      </c>
      <c r="J158">
        <v>4312.55</v>
      </c>
      <c r="K158" t="s">
        <v>26</v>
      </c>
      <c r="L158">
        <v>1</v>
      </c>
      <c r="M158" t="s">
        <v>199</v>
      </c>
    </row>
    <row r="159" spans="1:13">
      <c r="A159">
        <v>10158</v>
      </c>
      <c r="B159">
        <v>2910</v>
      </c>
      <c r="C159">
        <v>53</v>
      </c>
      <c r="D159" t="s">
        <v>13</v>
      </c>
      <c r="E159" t="s">
        <v>30</v>
      </c>
      <c r="F159" t="s">
        <v>21</v>
      </c>
      <c r="G159" t="s">
        <v>16</v>
      </c>
      <c r="H159">
        <v>4</v>
      </c>
      <c r="I159">
        <v>2603.42</v>
      </c>
      <c r="J159">
        <v>10413.68</v>
      </c>
      <c r="K159" t="s">
        <v>39</v>
      </c>
      <c r="L159">
        <v>2</v>
      </c>
      <c r="M159" t="s">
        <v>200</v>
      </c>
    </row>
    <row r="160" spans="1:13">
      <c r="A160">
        <v>10159</v>
      </c>
      <c r="B160">
        <v>4189</v>
      </c>
      <c r="C160">
        <v>22</v>
      </c>
      <c r="D160" t="s">
        <v>19</v>
      </c>
      <c r="E160" t="s">
        <v>55</v>
      </c>
      <c r="F160" t="s">
        <v>15</v>
      </c>
      <c r="G160" t="s">
        <v>32</v>
      </c>
      <c r="H160">
        <v>4</v>
      </c>
      <c r="I160">
        <v>4013.12</v>
      </c>
      <c r="J160">
        <v>16052.48</v>
      </c>
      <c r="K160" t="s">
        <v>26</v>
      </c>
      <c r="L160">
        <v>5</v>
      </c>
      <c r="M160" t="s">
        <v>201</v>
      </c>
    </row>
    <row r="161" spans="1:13">
      <c r="A161">
        <v>10160</v>
      </c>
      <c r="B161">
        <v>2811</v>
      </c>
      <c r="C161">
        <v>50</v>
      </c>
      <c r="D161" t="s">
        <v>13</v>
      </c>
      <c r="E161" t="s">
        <v>55</v>
      </c>
      <c r="F161" t="s">
        <v>15</v>
      </c>
      <c r="G161" t="s">
        <v>62</v>
      </c>
      <c r="H161">
        <v>4</v>
      </c>
      <c r="I161">
        <v>874.41</v>
      </c>
      <c r="J161">
        <v>3497.64</v>
      </c>
      <c r="K161" t="s">
        <v>17</v>
      </c>
      <c r="L161">
        <v>3</v>
      </c>
      <c r="M161" t="s">
        <v>202</v>
      </c>
    </row>
    <row r="162" spans="1:13">
      <c r="A162">
        <v>10161</v>
      </c>
      <c r="B162">
        <v>3741</v>
      </c>
      <c r="C162">
        <v>42</v>
      </c>
      <c r="D162" t="s">
        <v>19</v>
      </c>
      <c r="E162" t="s">
        <v>53</v>
      </c>
      <c r="F162" t="s">
        <v>38</v>
      </c>
      <c r="G162" t="s">
        <v>62</v>
      </c>
      <c r="H162">
        <v>1</v>
      </c>
      <c r="I162">
        <v>3413.32</v>
      </c>
      <c r="J162">
        <v>3413.32</v>
      </c>
      <c r="K162" t="s">
        <v>22</v>
      </c>
      <c r="L162">
        <v>4</v>
      </c>
      <c r="M162" t="s">
        <v>203</v>
      </c>
    </row>
    <row r="163" spans="1:13">
      <c r="A163">
        <v>10162</v>
      </c>
      <c r="B163">
        <v>2696</v>
      </c>
      <c r="C163">
        <v>56</v>
      </c>
      <c r="D163" t="s">
        <v>13</v>
      </c>
      <c r="E163" t="s">
        <v>36</v>
      </c>
      <c r="F163" t="s">
        <v>31</v>
      </c>
      <c r="G163" t="s">
        <v>25</v>
      </c>
      <c r="H163">
        <v>1</v>
      </c>
      <c r="I163">
        <v>2593.98</v>
      </c>
      <c r="J163">
        <v>2593.98</v>
      </c>
      <c r="K163" t="s">
        <v>26</v>
      </c>
      <c r="L163">
        <v>4</v>
      </c>
      <c r="M163" t="s">
        <v>204</v>
      </c>
    </row>
    <row r="164" spans="1:13">
      <c r="A164">
        <v>10163</v>
      </c>
      <c r="B164">
        <v>3979</v>
      </c>
      <c r="C164">
        <v>43</v>
      </c>
      <c r="D164" t="s">
        <v>19</v>
      </c>
      <c r="E164" t="s">
        <v>14</v>
      </c>
      <c r="F164" t="s">
        <v>31</v>
      </c>
      <c r="G164" t="s">
        <v>56</v>
      </c>
      <c r="H164">
        <v>3</v>
      </c>
      <c r="I164">
        <v>1213.1600000000001</v>
      </c>
      <c r="J164">
        <v>3639.48</v>
      </c>
      <c r="K164" t="s">
        <v>39</v>
      </c>
      <c r="L164">
        <v>4</v>
      </c>
      <c r="M164" t="s">
        <v>205</v>
      </c>
    </row>
    <row r="165" spans="1:13">
      <c r="A165">
        <v>10164</v>
      </c>
      <c r="B165">
        <v>4959</v>
      </c>
      <c r="C165">
        <v>50</v>
      </c>
      <c r="D165" t="s">
        <v>19</v>
      </c>
      <c r="E165" t="s">
        <v>36</v>
      </c>
      <c r="F165" t="s">
        <v>50</v>
      </c>
      <c r="G165" t="s">
        <v>28</v>
      </c>
      <c r="H165">
        <v>2</v>
      </c>
      <c r="I165">
        <v>4429.5600000000004</v>
      </c>
      <c r="J165">
        <v>8859.1200000000008</v>
      </c>
      <c r="K165" t="s">
        <v>34</v>
      </c>
      <c r="L165">
        <v>2</v>
      </c>
      <c r="M165" t="s">
        <v>206</v>
      </c>
    </row>
    <row r="166" spans="1:13">
      <c r="A166">
        <v>10165</v>
      </c>
      <c r="B166">
        <v>3560</v>
      </c>
      <c r="C166">
        <v>58</v>
      </c>
      <c r="D166" t="s">
        <v>13</v>
      </c>
      <c r="E166" t="s">
        <v>36</v>
      </c>
      <c r="F166" t="s">
        <v>31</v>
      </c>
      <c r="G166" t="s">
        <v>16</v>
      </c>
      <c r="H166">
        <v>1</v>
      </c>
      <c r="I166">
        <v>1152.99</v>
      </c>
      <c r="J166">
        <v>1152.99</v>
      </c>
      <c r="K166" t="s">
        <v>34</v>
      </c>
      <c r="L166">
        <v>1</v>
      </c>
      <c r="M166" t="s">
        <v>207</v>
      </c>
    </row>
    <row r="167" spans="1:13">
      <c r="A167">
        <v>10166</v>
      </c>
      <c r="B167">
        <v>3019</v>
      </c>
      <c r="C167">
        <v>51</v>
      </c>
      <c r="D167" t="s">
        <v>13</v>
      </c>
      <c r="E167" t="s">
        <v>55</v>
      </c>
      <c r="F167" t="s">
        <v>24</v>
      </c>
      <c r="G167" t="s">
        <v>60</v>
      </c>
      <c r="H167">
        <v>4</v>
      </c>
      <c r="I167">
        <v>3303.55</v>
      </c>
      <c r="J167">
        <v>13214.2</v>
      </c>
      <c r="K167" t="s">
        <v>34</v>
      </c>
      <c r="L167">
        <v>5</v>
      </c>
      <c r="M167" t="s">
        <v>208</v>
      </c>
    </row>
    <row r="168" spans="1:13">
      <c r="A168">
        <v>10167</v>
      </c>
      <c r="B168">
        <v>2450</v>
      </c>
      <c r="C168">
        <v>24</v>
      </c>
      <c r="D168" t="s">
        <v>19</v>
      </c>
      <c r="E168" t="s">
        <v>43</v>
      </c>
      <c r="F168" t="s">
        <v>24</v>
      </c>
      <c r="G168" t="s">
        <v>44</v>
      </c>
      <c r="H168">
        <v>3</v>
      </c>
      <c r="I168">
        <v>3781.89</v>
      </c>
      <c r="J168">
        <v>11345.67</v>
      </c>
      <c r="K168" t="s">
        <v>26</v>
      </c>
      <c r="L168">
        <v>4</v>
      </c>
      <c r="M168" t="s">
        <v>209</v>
      </c>
    </row>
    <row r="169" spans="1:13">
      <c r="A169">
        <v>10168</v>
      </c>
      <c r="B169">
        <v>4247</v>
      </c>
      <c r="C169">
        <v>19</v>
      </c>
      <c r="D169" t="s">
        <v>13</v>
      </c>
      <c r="E169" t="s">
        <v>30</v>
      </c>
      <c r="F169" t="s">
        <v>31</v>
      </c>
      <c r="G169" t="s">
        <v>32</v>
      </c>
      <c r="H169">
        <v>3</v>
      </c>
      <c r="I169">
        <v>2944.56</v>
      </c>
      <c r="J169">
        <v>8833.68</v>
      </c>
      <c r="K169" t="s">
        <v>17</v>
      </c>
      <c r="L169">
        <v>4</v>
      </c>
      <c r="M169" t="s">
        <v>210</v>
      </c>
    </row>
    <row r="170" spans="1:13">
      <c r="A170">
        <v>10169</v>
      </c>
      <c r="B170">
        <v>4468</v>
      </c>
      <c r="C170">
        <v>49</v>
      </c>
      <c r="D170" t="s">
        <v>19</v>
      </c>
      <c r="E170" t="s">
        <v>53</v>
      </c>
      <c r="F170" t="s">
        <v>38</v>
      </c>
      <c r="G170" t="s">
        <v>62</v>
      </c>
      <c r="H170">
        <v>2</v>
      </c>
      <c r="I170">
        <v>3255.56</v>
      </c>
      <c r="J170">
        <v>6511.12</v>
      </c>
      <c r="K170" t="s">
        <v>22</v>
      </c>
      <c r="L170">
        <v>5</v>
      </c>
      <c r="M170" t="s">
        <v>211</v>
      </c>
    </row>
    <row r="171" spans="1:13">
      <c r="A171">
        <v>10170</v>
      </c>
      <c r="B171">
        <v>2869</v>
      </c>
      <c r="C171">
        <v>25</v>
      </c>
      <c r="D171" t="s">
        <v>13</v>
      </c>
      <c r="E171" t="s">
        <v>55</v>
      </c>
      <c r="F171" t="s">
        <v>50</v>
      </c>
      <c r="G171" t="s">
        <v>69</v>
      </c>
      <c r="H171">
        <v>5</v>
      </c>
      <c r="I171">
        <v>859.14</v>
      </c>
      <c r="J171">
        <v>4295.7</v>
      </c>
      <c r="K171" t="s">
        <v>26</v>
      </c>
      <c r="L171">
        <v>3</v>
      </c>
      <c r="M171" t="s">
        <v>212</v>
      </c>
    </row>
    <row r="172" spans="1:13">
      <c r="A172">
        <v>10171</v>
      </c>
      <c r="B172">
        <v>4808</v>
      </c>
      <c r="C172">
        <v>31</v>
      </c>
      <c r="D172" t="s">
        <v>13</v>
      </c>
      <c r="E172" t="s">
        <v>20</v>
      </c>
      <c r="F172" t="s">
        <v>21</v>
      </c>
      <c r="G172" t="s">
        <v>56</v>
      </c>
      <c r="H172">
        <v>1</v>
      </c>
      <c r="I172">
        <v>1747.77</v>
      </c>
      <c r="J172">
        <v>1747.77</v>
      </c>
      <c r="K172" t="s">
        <v>39</v>
      </c>
      <c r="L172">
        <v>1</v>
      </c>
      <c r="M172" t="s">
        <v>213</v>
      </c>
    </row>
    <row r="173" spans="1:13">
      <c r="A173">
        <v>10172</v>
      </c>
      <c r="B173">
        <v>4069</v>
      </c>
      <c r="C173">
        <v>21</v>
      </c>
      <c r="D173" t="s">
        <v>19</v>
      </c>
      <c r="E173" t="s">
        <v>30</v>
      </c>
      <c r="F173" t="s">
        <v>50</v>
      </c>
      <c r="G173" t="s">
        <v>44</v>
      </c>
      <c r="H173">
        <v>5</v>
      </c>
      <c r="I173">
        <v>3058.72</v>
      </c>
      <c r="J173">
        <v>15293.6</v>
      </c>
      <c r="K173" t="s">
        <v>26</v>
      </c>
      <c r="L173">
        <v>3</v>
      </c>
      <c r="M173" t="s">
        <v>214</v>
      </c>
    </row>
    <row r="174" spans="1:13">
      <c r="A174">
        <v>10173</v>
      </c>
      <c r="B174">
        <v>2077</v>
      </c>
      <c r="C174">
        <v>46</v>
      </c>
      <c r="D174" t="s">
        <v>19</v>
      </c>
      <c r="E174" t="s">
        <v>30</v>
      </c>
      <c r="F174" t="s">
        <v>24</v>
      </c>
      <c r="G174" t="s">
        <v>60</v>
      </c>
      <c r="H174">
        <v>2</v>
      </c>
      <c r="I174">
        <v>2158.6799999999998</v>
      </c>
      <c r="J174">
        <v>4317.3599999999997</v>
      </c>
      <c r="K174" t="s">
        <v>17</v>
      </c>
      <c r="L174">
        <v>5</v>
      </c>
      <c r="M174" t="s">
        <v>215</v>
      </c>
    </row>
    <row r="175" spans="1:13">
      <c r="A175">
        <v>10174</v>
      </c>
      <c r="B175">
        <v>4267</v>
      </c>
      <c r="C175">
        <v>33</v>
      </c>
      <c r="D175" t="s">
        <v>19</v>
      </c>
      <c r="E175" t="s">
        <v>43</v>
      </c>
      <c r="F175" t="s">
        <v>38</v>
      </c>
      <c r="G175" t="s">
        <v>25</v>
      </c>
      <c r="H175">
        <v>5</v>
      </c>
      <c r="I175">
        <v>3420.55</v>
      </c>
      <c r="J175">
        <v>17102.75</v>
      </c>
      <c r="K175" t="s">
        <v>39</v>
      </c>
      <c r="L175">
        <v>2</v>
      </c>
      <c r="M175" t="s">
        <v>216</v>
      </c>
    </row>
    <row r="176" spans="1:13">
      <c r="A176">
        <v>10175</v>
      </c>
      <c r="B176">
        <v>4737</v>
      </c>
      <c r="C176">
        <v>47</v>
      </c>
      <c r="D176" t="s">
        <v>19</v>
      </c>
      <c r="E176" t="s">
        <v>20</v>
      </c>
      <c r="F176" t="s">
        <v>24</v>
      </c>
      <c r="G176" t="s">
        <v>69</v>
      </c>
      <c r="H176">
        <v>5</v>
      </c>
      <c r="I176">
        <v>4304.1899999999996</v>
      </c>
      <c r="J176">
        <v>21520.95</v>
      </c>
      <c r="K176" t="s">
        <v>22</v>
      </c>
      <c r="L176">
        <v>5</v>
      </c>
      <c r="M176" t="s">
        <v>217</v>
      </c>
    </row>
    <row r="177" spans="1:13">
      <c r="A177">
        <v>10176</v>
      </c>
      <c r="B177">
        <v>4417</v>
      </c>
      <c r="C177">
        <v>20</v>
      </c>
      <c r="D177" t="s">
        <v>19</v>
      </c>
      <c r="E177" t="s">
        <v>55</v>
      </c>
      <c r="F177" t="s">
        <v>31</v>
      </c>
      <c r="G177" t="s">
        <v>56</v>
      </c>
      <c r="H177">
        <v>3</v>
      </c>
      <c r="I177">
        <v>1194.04</v>
      </c>
      <c r="J177">
        <v>3582.12</v>
      </c>
      <c r="K177" t="s">
        <v>26</v>
      </c>
      <c r="L177">
        <v>3</v>
      </c>
      <c r="M177" t="s">
        <v>218</v>
      </c>
    </row>
    <row r="178" spans="1:13">
      <c r="A178">
        <v>10177</v>
      </c>
      <c r="B178">
        <v>3327</v>
      </c>
      <c r="C178">
        <v>37</v>
      </c>
      <c r="D178" t="s">
        <v>13</v>
      </c>
      <c r="E178" t="s">
        <v>36</v>
      </c>
      <c r="F178" t="s">
        <v>31</v>
      </c>
      <c r="G178" t="s">
        <v>32</v>
      </c>
      <c r="H178">
        <v>4</v>
      </c>
      <c r="I178">
        <v>4545.38</v>
      </c>
      <c r="J178">
        <v>18181.52</v>
      </c>
      <c r="K178" t="s">
        <v>17</v>
      </c>
      <c r="L178">
        <v>2</v>
      </c>
      <c r="M178" t="s">
        <v>219</v>
      </c>
    </row>
    <row r="179" spans="1:13">
      <c r="A179">
        <v>10178</v>
      </c>
      <c r="B179">
        <v>3485</v>
      </c>
      <c r="C179">
        <v>50</v>
      </c>
      <c r="D179" t="s">
        <v>13</v>
      </c>
      <c r="E179" t="s">
        <v>30</v>
      </c>
      <c r="F179" t="s">
        <v>21</v>
      </c>
      <c r="G179" t="s">
        <v>56</v>
      </c>
      <c r="H179">
        <v>1</v>
      </c>
      <c r="I179">
        <v>2100.9299999999998</v>
      </c>
      <c r="J179">
        <v>2100.9299999999998</v>
      </c>
      <c r="K179" t="s">
        <v>34</v>
      </c>
      <c r="L179">
        <v>3</v>
      </c>
      <c r="M179" t="s">
        <v>220</v>
      </c>
    </row>
    <row r="180" spans="1:13">
      <c r="A180">
        <v>10179</v>
      </c>
      <c r="B180">
        <v>3486</v>
      </c>
      <c r="C180">
        <v>36</v>
      </c>
      <c r="D180" t="s">
        <v>13</v>
      </c>
      <c r="E180" t="s">
        <v>53</v>
      </c>
      <c r="F180" t="s">
        <v>50</v>
      </c>
      <c r="G180" t="s">
        <v>41</v>
      </c>
      <c r="H180">
        <v>3</v>
      </c>
      <c r="I180">
        <v>4732.68</v>
      </c>
      <c r="J180">
        <v>14198.04</v>
      </c>
      <c r="K180" t="s">
        <v>26</v>
      </c>
      <c r="L180">
        <v>1</v>
      </c>
      <c r="M180" t="s">
        <v>221</v>
      </c>
    </row>
    <row r="181" spans="1:13">
      <c r="A181">
        <v>10180</v>
      </c>
      <c r="B181">
        <v>3581</v>
      </c>
      <c r="C181">
        <v>58</v>
      </c>
      <c r="D181" t="s">
        <v>19</v>
      </c>
      <c r="E181" t="s">
        <v>20</v>
      </c>
      <c r="F181" t="s">
        <v>38</v>
      </c>
      <c r="G181" t="s">
        <v>60</v>
      </c>
      <c r="H181">
        <v>1</v>
      </c>
      <c r="I181">
        <v>3201.7</v>
      </c>
      <c r="J181">
        <v>3201.7</v>
      </c>
      <c r="K181" t="s">
        <v>17</v>
      </c>
      <c r="L181">
        <v>3</v>
      </c>
      <c r="M181" t="s">
        <v>222</v>
      </c>
    </row>
    <row r="182" spans="1:13">
      <c r="A182">
        <v>10181</v>
      </c>
      <c r="B182">
        <v>3879</v>
      </c>
      <c r="C182">
        <v>52</v>
      </c>
      <c r="D182" t="s">
        <v>13</v>
      </c>
      <c r="E182" t="s">
        <v>55</v>
      </c>
      <c r="F182" t="s">
        <v>38</v>
      </c>
      <c r="G182" t="s">
        <v>56</v>
      </c>
      <c r="H182">
        <v>4</v>
      </c>
      <c r="I182">
        <v>4013.45</v>
      </c>
      <c r="J182">
        <v>16053.8</v>
      </c>
      <c r="K182" t="s">
        <v>34</v>
      </c>
      <c r="L182">
        <v>5</v>
      </c>
      <c r="M182" t="s">
        <v>223</v>
      </c>
    </row>
    <row r="183" spans="1:13">
      <c r="A183">
        <v>10182</v>
      </c>
      <c r="B183">
        <v>2656</v>
      </c>
      <c r="C183">
        <v>48</v>
      </c>
      <c r="D183" t="s">
        <v>19</v>
      </c>
      <c r="E183" t="s">
        <v>55</v>
      </c>
      <c r="F183" t="s">
        <v>38</v>
      </c>
      <c r="G183" t="s">
        <v>44</v>
      </c>
      <c r="H183">
        <v>3</v>
      </c>
      <c r="I183">
        <v>2719.44</v>
      </c>
      <c r="J183">
        <v>8158.32</v>
      </c>
      <c r="K183" t="s">
        <v>39</v>
      </c>
      <c r="L183">
        <v>5</v>
      </c>
      <c r="M183" t="s">
        <v>224</v>
      </c>
    </row>
    <row r="184" spans="1:13">
      <c r="A184">
        <v>10183</v>
      </c>
      <c r="B184">
        <v>3258</v>
      </c>
      <c r="C184">
        <v>50</v>
      </c>
      <c r="D184" t="s">
        <v>13</v>
      </c>
      <c r="E184" t="s">
        <v>14</v>
      </c>
      <c r="F184" t="s">
        <v>38</v>
      </c>
      <c r="G184" t="s">
        <v>25</v>
      </c>
      <c r="H184">
        <v>2</v>
      </c>
      <c r="I184">
        <v>2796.38</v>
      </c>
      <c r="J184">
        <v>5592.76</v>
      </c>
      <c r="K184" t="s">
        <v>34</v>
      </c>
      <c r="L184">
        <v>4</v>
      </c>
      <c r="M184" t="s">
        <v>225</v>
      </c>
    </row>
    <row r="185" spans="1:13">
      <c r="A185">
        <v>10184</v>
      </c>
      <c r="B185">
        <v>2451</v>
      </c>
      <c r="C185">
        <v>37</v>
      </c>
      <c r="D185" t="s">
        <v>19</v>
      </c>
      <c r="E185" t="s">
        <v>53</v>
      </c>
      <c r="F185" t="s">
        <v>21</v>
      </c>
      <c r="G185" t="s">
        <v>28</v>
      </c>
      <c r="H185">
        <v>3</v>
      </c>
      <c r="I185">
        <v>1839.69</v>
      </c>
      <c r="J185">
        <v>5519.07</v>
      </c>
      <c r="K185" t="s">
        <v>17</v>
      </c>
      <c r="L185">
        <v>5</v>
      </c>
      <c r="M185" t="s">
        <v>226</v>
      </c>
    </row>
    <row r="186" spans="1:13">
      <c r="A186">
        <v>10185</v>
      </c>
      <c r="B186">
        <v>2884</v>
      </c>
      <c r="C186">
        <v>59</v>
      </c>
      <c r="D186" t="s">
        <v>13</v>
      </c>
      <c r="E186" t="s">
        <v>55</v>
      </c>
      <c r="F186" t="s">
        <v>38</v>
      </c>
      <c r="G186" t="s">
        <v>60</v>
      </c>
      <c r="H186">
        <v>5</v>
      </c>
      <c r="I186">
        <v>908.01</v>
      </c>
      <c r="J186">
        <v>4540.05</v>
      </c>
      <c r="K186" t="s">
        <v>39</v>
      </c>
      <c r="L186">
        <v>4</v>
      </c>
      <c r="M186" t="s">
        <v>227</v>
      </c>
    </row>
    <row r="187" spans="1:13">
      <c r="A187">
        <v>10186</v>
      </c>
      <c r="B187">
        <v>4432</v>
      </c>
      <c r="C187">
        <v>38</v>
      </c>
      <c r="D187" t="s">
        <v>19</v>
      </c>
      <c r="E187" t="s">
        <v>20</v>
      </c>
      <c r="F187" t="s">
        <v>24</v>
      </c>
      <c r="G187" t="s">
        <v>56</v>
      </c>
      <c r="H187">
        <v>1</v>
      </c>
      <c r="I187">
        <v>2103.96</v>
      </c>
      <c r="J187">
        <v>2103.96</v>
      </c>
      <c r="K187" t="s">
        <v>39</v>
      </c>
      <c r="L187">
        <v>5</v>
      </c>
      <c r="M187" t="s">
        <v>228</v>
      </c>
    </row>
    <row r="188" spans="1:13">
      <c r="A188">
        <v>10187</v>
      </c>
      <c r="B188">
        <v>2413</v>
      </c>
      <c r="C188">
        <v>58</v>
      </c>
      <c r="D188" t="s">
        <v>19</v>
      </c>
      <c r="E188" t="s">
        <v>30</v>
      </c>
      <c r="F188" t="s">
        <v>24</v>
      </c>
      <c r="G188" t="s">
        <v>60</v>
      </c>
      <c r="H188">
        <v>4</v>
      </c>
      <c r="I188">
        <v>1310.3900000000001</v>
      </c>
      <c r="J188">
        <v>5241.5600000000004</v>
      </c>
      <c r="K188" t="s">
        <v>34</v>
      </c>
      <c r="L188">
        <v>1</v>
      </c>
      <c r="M188" t="s">
        <v>229</v>
      </c>
    </row>
    <row r="189" spans="1:13">
      <c r="A189">
        <v>10188</v>
      </c>
      <c r="B189">
        <v>2063</v>
      </c>
      <c r="C189">
        <v>22</v>
      </c>
      <c r="D189" t="s">
        <v>19</v>
      </c>
      <c r="E189" t="s">
        <v>14</v>
      </c>
      <c r="F189" t="s">
        <v>24</v>
      </c>
      <c r="G189" t="s">
        <v>28</v>
      </c>
      <c r="H189">
        <v>1</v>
      </c>
      <c r="I189">
        <v>454.47</v>
      </c>
      <c r="J189">
        <v>454.47</v>
      </c>
      <c r="K189" t="s">
        <v>26</v>
      </c>
      <c r="L189">
        <v>4</v>
      </c>
      <c r="M189" t="s">
        <v>230</v>
      </c>
    </row>
    <row r="190" spans="1:13">
      <c r="A190">
        <v>10189</v>
      </c>
      <c r="B190">
        <v>2843</v>
      </c>
      <c r="C190">
        <v>27</v>
      </c>
      <c r="D190" t="s">
        <v>19</v>
      </c>
      <c r="E190" t="s">
        <v>43</v>
      </c>
      <c r="F190" t="s">
        <v>15</v>
      </c>
      <c r="G190" t="s">
        <v>62</v>
      </c>
      <c r="H190">
        <v>2</v>
      </c>
      <c r="I190">
        <v>1591.97</v>
      </c>
      <c r="J190">
        <v>3183.94</v>
      </c>
      <c r="K190" t="s">
        <v>22</v>
      </c>
      <c r="L190">
        <v>5</v>
      </c>
      <c r="M190" t="s">
        <v>231</v>
      </c>
    </row>
    <row r="191" spans="1:13">
      <c r="A191">
        <v>10190</v>
      </c>
      <c r="B191">
        <v>3571</v>
      </c>
      <c r="C191">
        <v>18</v>
      </c>
      <c r="D191" t="s">
        <v>13</v>
      </c>
      <c r="E191" t="s">
        <v>14</v>
      </c>
      <c r="F191" t="s">
        <v>24</v>
      </c>
      <c r="G191" t="s">
        <v>32</v>
      </c>
      <c r="H191">
        <v>2</v>
      </c>
      <c r="I191">
        <v>1148.71</v>
      </c>
      <c r="J191">
        <v>2297.42</v>
      </c>
      <c r="K191" t="s">
        <v>34</v>
      </c>
      <c r="L191">
        <v>4</v>
      </c>
      <c r="M191" t="s">
        <v>232</v>
      </c>
    </row>
    <row r="192" spans="1:13">
      <c r="A192">
        <v>10191</v>
      </c>
      <c r="B192">
        <v>2949</v>
      </c>
      <c r="C192">
        <v>44</v>
      </c>
      <c r="D192" t="s">
        <v>13</v>
      </c>
      <c r="E192" t="s">
        <v>36</v>
      </c>
      <c r="F192" t="s">
        <v>31</v>
      </c>
      <c r="G192" t="s">
        <v>41</v>
      </c>
      <c r="H192">
        <v>3</v>
      </c>
      <c r="I192">
        <v>4414.99</v>
      </c>
      <c r="J192">
        <v>13244.97</v>
      </c>
      <c r="K192" t="s">
        <v>26</v>
      </c>
      <c r="L192">
        <v>5</v>
      </c>
      <c r="M192" t="s">
        <v>233</v>
      </c>
    </row>
    <row r="193" spans="1:13">
      <c r="A193">
        <v>10192</v>
      </c>
      <c r="B193">
        <v>4525</v>
      </c>
      <c r="C193">
        <v>39</v>
      </c>
      <c r="D193" t="s">
        <v>19</v>
      </c>
      <c r="E193" t="s">
        <v>53</v>
      </c>
      <c r="F193" t="s">
        <v>15</v>
      </c>
      <c r="G193" t="s">
        <v>32</v>
      </c>
      <c r="H193">
        <v>2</v>
      </c>
      <c r="I193">
        <v>681.81</v>
      </c>
      <c r="J193">
        <v>1363.62</v>
      </c>
      <c r="K193" t="s">
        <v>22</v>
      </c>
      <c r="L193">
        <v>5</v>
      </c>
      <c r="M193" t="s">
        <v>234</v>
      </c>
    </row>
    <row r="194" spans="1:13">
      <c r="A194">
        <v>10193</v>
      </c>
      <c r="B194">
        <v>2545</v>
      </c>
      <c r="C194">
        <v>28</v>
      </c>
      <c r="D194" t="s">
        <v>13</v>
      </c>
      <c r="E194" t="s">
        <v>14</v>
      </c>
      <c r="F194" t="s">
        <v>15</v>
      </c>
      <c r="G194" t="s">
        <v>41</v>
      </c>
      <c r="H194">
        <v>2</v>
      </c>
      <c r="I194">
        <v>1164.31</v>
      </c>
      <c r="J194">
        <v>2328.62</v>
      </c>
      <c r="K194" t="s">
        <v>26</v>
      </c>
      <c r="L194">
        <v>2</v>
      </c>
      <c r="M194" t="s">
        <v>235</v>
      </c>
    </row>
    <row r="195" spans="1:13">
      <c r="A195">
        <v>10194</v>
      </c>
      <c r="B195">
        <v>4690</v>
      </c>
      <c r="C195">
        <v>39</v>
      </c>
      <c r="D195" t="s">
        <v>13</v>
      </c>
      <c r="E195" t="s">
        <v>53</v>
      </c>
      <c r="F195" t="s">
        <v>21</v>
      </c>
      <c r="G195" t="s">
        <v>28</v>
      </c>
      <c r="H195">
        <v>3</v>
      </c>
      <c r="I195">
        <v>3608.94</v>
      </c>
      <c r="J195">
        <v>10826.82</v>
      </c>
      <c r="K195" t="s">
        <v>39</v>
      </c>
      <c r="L195">
        <v>4</v>
      </c>
      <c r="M195" t="s">
        <v>236</v>
      </c>
    </row>
    <row r="196" spans="1:13">
      <c r="A196">
        <v>10195</v>
      </c>
      <c r="B196">
        <v>3492</v>
      </c>
      <c r="C196">
        <v>51</v>
      </c>
      <c r="D196" t="s">
        <v>13</v>
      </c>
      <c r="E196" t="s">
        <v>30</v>
      </c>
      <c r="F196" t="s">
        <v>24</v>
      </c>
      <c r="G196" t="s">
        <v>62</v>
      </c>
      <c r="H196">
        <v>1</v>
      </c>
      <c r="I196">
        <v>4620.3599999999997</v>
      </c>
      <c r="J196">
        <v>4620.3599999999997</v>
      </c>
      <c r="K196" t="s">
        <v>26</v>
      </c>
      <c r="L196">
        <v>4</v>
      </c>
      <c r="M196" t="s">
        <v>237</v>
      </c>
    </row>
    <row r="197" spans="1:13">
      <c r="A197">
        <v>10196</v>
      </c>
      <c r="B197">
        <v>3619</v>
      </c>
      <c r="C197">
        <v>56</v>
      </c>
      <c r="D197" t="s">
        <v>19</v>
      </c>
      <c r="E197" t="s">
        <v>43</v>
      </c>
      <c r="F197" t="s">
        <v>31</v>
      </c>
      <c r="G197" t="s">
        <v>60</v>
      </c>
      <c r="H197">
        <v>4</v>
      </c>
      <c r="I197">
        <v>1481.85</v>
      </c>
      <c r="J197">
        <v>5927.4</v>
      </c>
      <c r="K197" t="s">
        <v>39</v>
      </c>
      <c r="L197">
        <v>3</v>
      </c>
      <c r="M197" t="s">
        <v>238</v>
      </c>
    </row>
    <row r="198" spans="1:13">
      <c r="A198">
        <v>10197</v>
      </c>
      <c r="B198">
        <v>3072</v>
      </c>
      <c r="C198">
        <v>55</v>
      </c>
      <c r="D198" t="s">
        <v>13</v>
      </c>
      <c r="E198" t="s">
        <v>20</v>
      </c>
      <c r="F198" t="s">
        <v>21</v>
      </c>
      <c r="G198" t="s">
        <v>16</v>
      </c>
      <c r="H198">
        <v>5</v>
      </c>
      <c r="I198">
        <v>400.12</v>
      </c>
      <c r="J198">
        <v>2000.6</v>
      </c>
      <c r="K198" t="s">
        <v>39</v>
      </c>
      <c r="L198">
        <v>4</v>
      </c>
      <c r="M198" t="s">
        <v>239</v>
      </c>
    </row>
    <row r="199" spans="1:13">
      <c r="A199">
        <v>10198</v>
      </c>
      <c r="B199">
        <v>2253</v>
      </c>
      <c r="C199">
        <v>57</v>
      </c>
      <c r="D199" t="s">
        <v>13</v>
      </c>
      <c r="E199" t="s">
        <v>14</v>
      </c>
      <c r="F199" t="s">
        <v>15</v>
      </c>
      <c r="G199" t="s">
        <v>41</v>
      </c>
      <c r="H199">
        <v>1</v>
      </c>
      <c r="I199">
        <v>4814.37</v>
      </c>
      <c r="J199">
        <v>4814.37</v>
      </c>
      <c r="K199" t="s">
        <v>26</v>
      </c>
      <c r="L199">
        <v>5</v>
      </c>
      <c r="M199" t="s">
        <v>240</v>
      </c>
    </row>
    <row r="200" spans="1:13">
      <c r="A200">
        <v>10199</v>
      </c>
      <c r="B200">
        <v>2668</v>
      </c>
      <c r="C200">
        <v>51</v>
      </c>
      <c r="D200" t="s">
        <v>19</v>
      </c>
      <c r="E200" t="s">
        <v>14</v>
      </c>
      <c r="F200" t="s">
        <v>50</v>
      </c>
      <c r="G200" t="s">
        <v>25</v>
      </c>
      <c r="H200">
        <v>2</v>
      </c>
      <c r="I200">
        <v>3506.44</v>
      </c>
      <c r="J200">
        <v>7012.88</v>
      </c>
      <c r="K200" t="s">
        <v>39</v>
      </c>
      <c r="L200">
        <v>3</v>
      </c>
      <c r="M200" t="s">
        <v>241</v>
      </c>
    </row>
    <row r="201" spans="1:13">
      <c r="A201">
        <v>10200</v>
      </c>
      <c r="B201">
        <v>4103</v>
      </c>
      <c r="C201">
        <v>49</v>
      </c>
      <c r="D201" t="s">
        <v>19</v>
      </c>
      <c r="E201" t="s">
        <v>55</v>
      </c>
      <c r="F201" t="s">
        <v>50</v>
      </c>
      <c r="G201" t="s">
        <v>56</v>
      </c>
      <c r="H201">
        <v>5</v>
      </c>
      <c r="I201">
        <v>1760.11</v>
      </c>
      <c r="J201">
        <v>8800.5499999999993</v>
      </c>
      <c r="K201" t="s">
        <v>26</v>
      </c>
      <c r="L201">
        <v>5</v>
      </c>
      <c r="M201" t="s">
        <v>242</v>
      </c>
    </row>
    <row r="202" spans="1:13">
      <c r="A202">
        <v>10201</v>
      </c>
      <c r="B202">
        <v>4770</v>
      </c>
      <c r="C202">
        <v>59</v>
      </c>
      <c r="D202" t="s">
        <v>13</v>
      </c>
      <c r="E202" t="s">
        <v>14</v>
      </c>
      <c r="F202" t="s">
        <v>38</v>
      </c>
      <c r="G202" t="s">
        <v>16</v>
      </c>
      <c r="H202">
        <v>3</v>
      </c>
      <c r="I202">
        <v>2520.16</v>
      </c>
      <c r="J202">
        <v>7560.48</v>
      </c>
      <c r="K202" t="s">
        <v>34</v>
      </c>
      <c r="L202">
        <v>4</v>
      </c>
      <c r="M202" t="s">
        <v>243</v>
      </c>
    </row>
    <row r="203" spans="1:13">
      <c r="A203">
        <v>10202</v>
      </c>
      <c r="B203">
        <v>3311</v>
      </c>
      <c r="C203">
        <v>25</v>
      </c>
      <c r="D203" t="s">
        <v>19</v>
      </c>
      <c r="E203" t="s">
        <v>43</v>
      </c>
      <c r="F203" t="s">
        <v>15</v>
      </c>
      <c r="G203" t="s">
        <v>41</v>
      </c>
      <c r="H203">
        <v>2</v>
      </c>
      <c r="I203">
        <v>3116.5</v>
      </c>
      <c r="J203">
        <v>6233</v>
      </c>
      <c r="K203" t="s">
        <v>17</v>
      </c>
      <c r="L203">
        <v>1</v>
      </c>
      <c r="M203" t="s">
        <v>244</v>
      </c>
    </row>
    <row r="204" spans="1:13">
      <c r="A204">
        <v>10203</v>
      </c>
      <c r="B204">
        <v>3052</v>
      </c>
      <c r="C204">
        <v>23</v>
      </c>
      <c r="D204" t="s">
        <v>19</v>
      </c>
      <c r="E204" t="s">
        <v>30</v>
      </c>
      <c r="F204" t="s">
        <v>38</v>
      </c>
      <c r="G204" t="s">
        <v>60</v>
      </c>
      <c r="H204">
        <v>1</v>
      </c>
      <c r="I204">
        <v>2057.1799999999998</v>
      </c>
      <c r="J204">
        <v>2057.1799999999998</v>
      </c>
      <c r="K204" t="s">
        <v>34</v>
      </c>
      <c r="L204">
        <v>1</v>
      </c>
      <c r="M204" t="s">
        <v>245</v>
      </c>
    </row>
    <row r="205" spans="1:13">
      <c r="A205">
        <v>10204</v>
      </c>
      <c r="B205">
        <v>2222</v>
      </c>
      <c r="C205">
        <v>24</v>
      </c>
      <c r="D205" t="s">
        <v>13</v>
      </c>
      <c r="E205" t="s">
        <v>53</v>
      </c>
      <c r="F205" t="s">
        <v>21</v>
      </c>
      <c r="G205" t="s">
        <v>44</v>
      </c>
      <c r="H205">
        <v>1</v>
      </c>
      <c r="I205">
        <v>4410.09</v>
      </c>
      <c r="J205">
        <v>4410.09</v>
      </c>
      <c r="K205" t="s">
        <v>17</v>
      </c>
      <c r="L205">
        <v>1</v>
      </c>
      <c r="M205" t="s">
        <v>246</v>
      </c>
    </row>
    <row r="206" spans="1:13">
      <c r="A206">
        <v>10205</v>
      </c>
      <c r="B206">
        <v>3160</v>
      </c>
      <c r="C206">
        <v>41</v>
      </c>
      <c r="D206" t="s">
        <v>13</v>
      </c>
      <c r="E206" t="s">
        <v>14</v>
      </c>
      <c r="F206" t="s">
        <v>31</v>
      </c>
      <c r="G206" t="s">
        <v>25</v>
      </c>
      <c r="H206">
        <v>2</v>
      </c>
      <c r="I206">
        <v>3713.01</v>
      </c>
      <c r="J206">
        <v>7426.02</v>
      </c>
      <c r="K206" t="s">
        <v>22</v>
      </c>
      <c r="L206">
        <v>1</v>
      </c>
      <c r="M206" t="s">
        <v>247</v>
      </c>
    </row>
    <row r="207" spans="1:13">
      <c r="A207">
        <v>10206</v>
      </c>
      <c r="B207">
        <v>2109</v>
      </c>
      <c r="C207">
        <v>40</v>
      </c>
      <c r="D207" t="s">
        <v>13</v>
      </c>
      <c r="E207" t="s">
        <v>14</v>
      </c>
      <c r="F207" t="s">
        <v>15</v>
      </c>
      <c r="G207" t="s">
        <v>41</v>
      </c>
      <c r="H207">
        <v>1</v>
      </c>
      <c r="I207">
        <v>4785.3999999999996</v>
      </c>
      <c r="J207">
        <v>4785.3999999999996</v>
      </c>
      <c r="K207" t="s">
        <v>17</v>
      </c>
      <c r="L207">
        <v>3</v>
      </c>
      <c r="M207" t="s">
        <v>248</v>
      </c>
    </row>
    <row r="208" spans="1:13">
      <c r="A208">
        <v>10207</v>
      </c>
      <c r="B208">
        <v>3635</v>
      </c>
      <c r="C208">
        <v>57</v>
      </c>
      <c r="D208" t="s">
        <v>19</v>
      </c>
      <c r="E208" t="s">
        <v>55</v>
      </c>
      <c r="F208" t="s">
        <v>21</v>
      </c>
      <c r="G208" t="s">
        <v>28</v>
      </c>
      <c r="H208">
        <v>3</v>
      </c>
      <c r="I208">
        <v>1950.01</v>
      </c>
      <c r="J208">
        <v>5850.03</v>
      </c>
      <c r="K208" t="s">
        <v>22</v>
      </c>
      <c r="L208">
        <v>3</v>
      </c>
      <c r="M208" t="s">
        <v>249</v>
      </c>
    </row>
    <row r="209" spans="1:13">
      <c r="A209">
        <v>10208</v>
      </c>
      <c r="B209">
        <v>3620</v>
      </c>
      <c r="C209">
        <v>49</v>
      </c>
      <c r="D209" t="s">
        <v>19</v>
      </c>
      <c r="E209" t="s">
        <v>55</v>
      </c>
      <c r="F209" t="s">
        <v>38</v>
      </c>
      <c r="G209" t="s">
        <v>16</v>
      </c>
      <c r="H209">
        <v>4</v>
      </c>
      <c r="I209">
        <v>4704.72</v>
      </c>
      <c r="J209">
        <v>18818.88</v>
      </c>
      <c r="K209" t="s">
        <v>34</v>
      </c>
      <c r="L209">
        <v>2</v>
      </c>
      <c r="M209" t="s">
        <v>250</v>
      </c>
    </row>
    <row r="210" spans="1:13">
      <c r="A210">
        <v>10209</v>
      </c>
      <c r="B210">
        <v>2562</v>
      </c>
      <c r="C210">
        <v>55</v>
      </c>
      <c r="D210" t="s">
        <v>19</v>
      </c>
      <c r="E210" t="s">
        <v>55</v>
      </c>
      <c r="F210" t="s">
        <v>50</v>
      </c>
      <c r="G210" t="s">
        <v>56</v>
      </c>
      <c r="H210">
        <v>1</v>
      </c>
      <c r="I210">
        <v>2551.77</v>
      </c>
      <c r="J210">
        <v>2551.77</v>
      </c>
      <c r="K210" t="s">
        <v>34</v>
      </c>
      <c r="L210">
        <v>2</v>
      </c>
      <c r="M210" t="s">
        <v>251</v>
      </c>
    </row>
    <row r="211" spans="1:13">
      <c r="A211">
        <v>10210</v>
      </c>
      <c r="B211">
        <v>2591</v>
      </c>
      <c r="C211">
        <v>56</v>
      </c>
      <c r="D211" t="s">
        <v>13</v>
      </c>
      <c r="E211" t="s">
        <v>14</v>
      </c>
      <c r="F211" t="s">
        <v>31</v>
      </c>
      <c r="G211" t="s">
        <v>16</v>
      </c>
      <c r="H211">
        <v>3</v>
      </c>
      <c r="I211">
        <v>3318.92</v>
      </c>
      <c r="J211">
        <v>9956.76</v>
      </c>
      <c r="K211" t="s">
        <v>17</v>
      </c>
      <c r="L211">
        <v>5</v>
      </c>
      <c r="M211" t="s">
        <v>252</v>
      </c>
    </row>
    <row r="212" spans="1:13">
      <c r="A212">
        <v>10211</v>
      </c>
      <c r="B212">
        <v>2832</v>
      </c>
      <c r="C212">
        <v>41</v>
      </c>
      <c r="D212" t="s">
        <v>13</v>
      </c>
      <c r="E212" t="s">
        <v>43</v>
      </c>
      <c r="F212" t="s">
        <v>31</v>
      </c>
      <c r="G212" t="s">
        <v>56</v>
      </c>
      <c r="H212">
        <v>4</v>
      </c>
      <c r="I212">
        <v>3762.24</v>
      </c>
      <c r="J212">
        <v>15048.96</v>
      </c>
      <c r="K212" t="s">
        <v>17</v>
      </c>
      <c r="L212">
        <v>2</v>
      </c>
      <c r="M212" t="s">
        <v>253</v>
      </c>
    </row>
    <row r="213" spans="1:13">
      <c r="A213">
        <v>10212</v>
      </c>
      <c r="B213">
        <v>3235</v>
      </c>
      <c r="C213">
        <v>46</v>
      </c>
      <c r="D213" t="s">
        <v>13</v>
      </c>
      <c r="E213" t="s">
        <v>30</v>
      </c>
      <c r="F213" t="s">
        <v>31</v>
      </c>
      <c r="G213" t="s">
        <v>16</v>
      </c>
      <c r="H213">
        <v>5</v>
      </c>
      <c r="I213">
        <v>4103.8900000000003</v>
      </c>
      <c r="J213">
        <v>20519.45</v>
      </c>
      <c r="K213" t="s">
        <v>34</v>
      </c>
      <c r="L213">
        <v>4</v>
      </c>
      <c r="M213" t="s">
        <v>254</v>
      </c>
    </row>
    <row r="214" spans="1:13">
      <c r="A214">
        <v>10213</v>
      </c>
      <c r="B214">
        <v>4072</v>
      </c>
      <c r="C214">
        <v>54</v>
      </c>
      <c r="D214" t="s">
        <v>13</v>
      </c>
      <c r="E214" t="s">
        <v>36</v>
      </c>
      <c r="F214" t="s">
        <v>21</v>
      </c>
      <c r="G214" t="s">
        <v>56</v>
      </c>
      <c r="H214">
        <v>4</v>
      </c>
      <c r="I214">
        <v>2162.42</v>
      </c>
      <c r="J214">
        <v>8649.68</v>
      </c>
      <c r="K214" t="s">
        <v>17</v>
      </c>
      <c r="L214">
        <v>3</v>
      </c>
      <c r="M214" t="s">
        <v>255</v>
      </c>
    </row>
    <row r="215" spans="1:13">
      <c r="A215">
        <v>10214</v>
      </c>
      <c r="B215">
        <v>3137</v>
      </c>
      <c r="C215">
        <v>20</v>
      </c>
      <c r="D215" t="s">
        <v>19</v>
      </c>
      <c r="E215" t="s">
        <v>55</v>
      </c>
      <c r="F215" t="s">
        <v>50</v>
      </c>
      <c r="G215" t="s">
        <v>62</v>
      </c>
      <c r="H215">
        <v>3</v>
      </c>
      <c r="I215">
        <v>2405.35</v>
      </c>
      <c r="J215">
        <v>7216.05</v>
      </c>
      <c r="K215" t="s">
        <v>34</v>
      </c>
      <c r="L215">
        <v>2</v>
      </c>
      <c r="M215" t="s">
        <v>256</v>
      </c>
    </row>
    <row r="216" spans="1:13">
      <c r="A216">
        <v>10215</v>
      </c>
      <c r="B216">
        <v>4836</v>
      </c>
      <c r="C216">
        <v>28</v>
      </c>
      <c r="D216" t="s">
        <v>13</v>
      </c>
      <c r="E216" t="s">
        <v>53</v>
      </c>
      <c r="F216" t="s">
        <v>31</v>
      </c>
      <c r="G216" t="s">
        <v>44</v>
      </c>
      <c r="H216">
        <v>4</v>
      </c>
      <c r="I216">
        <v>4141.2</v>
      </c>
      <c r="J216">
        <v>16564.8</v>
      </c>
      <c r="K216" t="s">
        <v>17</v>
      </c>
      <c r="L216">
        <v>5</v>
      </c>
      <c r="M216" t="s">
        <v>257</v>
      </c>
    </row>
    <row r="217" spans="1:13">
      <c r="A217">
        <v>10216</v>
      </c>
      <c r="B217">
        <v>4092</v>
      </c>
      <c r="C217">
        <v>38</v>
      </c>
      <c r="D217" t="s">
        <v>13</v>
      </c>
      <c r="E217" t="s">
        <v>30</v>
      </c>
      <c r="F217" t="s">
        <v>15</v>
      </c>
      <c r="G217" t="s">
        <v>62</v>
      </c>
      <c r="H217">
        <v>3</v>
      </c>
      <c r="I217">
        <v>3672.52</v>
      </c>
      <c r="J217">
        <v>11017.56</v>
      </c>
      <c r="K217" t="s">
        <v>22</v>
      </c>
      <c r="L217">
        <v>5</v>
      </c>
      <c r="M217" t="s">
        <v>258</v>
      </c>
    </row>
    <row r="218" spans="1:13">
      <c r="A218">
        <v>10217</v>
      </c>
      <c r="B218">
        <v>3295</v>
      </c>
      <c r="C218">
        <v>18</v>
      </c>
      <c r="D218" t="s">
        <v>13</v>
      </c>
      <c r="E218" t="s">
        <v>30</v>
      </c>
      <c r="F218" t="s">
        <v>24</v>
      </c>
      <c r="G218" t="s">
        <v>44</v>
      </c>
      <c r="H218">
        <v>2</v>
      </c>
      <c r="I218">
        <v>4721.99</v>
      </c>
      <c r="J218">
        <v>9443.98</v>
      </c>
      <c r="K218" t="s">
        <v>34</v>
      </c>
      <c r="L218">
        <v>5</v>
      </c>
      <c r="M218" t="s">
        <v>259</v>
      </c>
    </row>
    <row r="219" spans="1:13">
      <c r="A219">
        <v>10218</v>
      </c>
      <c r="B219">
        <v>3694</v>
      </c>
      <c r="C219">
        <v>34</v>
      </c>
      <c r="D219" t="s">
        <v>13</v>
      </c>
      <c r="E219" t="s">
        <v>53</v>
      </c>
      <c r="F219" t="s">
        <v>31</v>
      </c>
      <c r="G219" t="s">
        <v>44</v>
      </c>
      <c r="H219">
        <v>2</v>
      </c>
      <c r="I219">
        <v>4904.1099999999997</v>
      </c>
      <c r="J219">
        <v>9808.2199999999993</v>
      </c>
      <c r="K219" t="s">
        <v>26</v>
      </c>
      <c r="L219">
        <v>1</v>
      </c>
      <c r="M219" t="s">
        <v>260</v>
      </c>
    </row>
    <row r="220" spans="1:13">
      <c r="A220">
        <v>10219</v>
      </c>
      <c r="B220">
        <v>2475</v>
      </c>
      <c r="C220">
        <v>48</v>
      </c>
      <c r="D220" t="s">
        <v>19</v>
      </c>
      <c r="E220" t="s">
        <v>30</v>
      </c>
      <c r="F220" t="s">
        <v>24</v>
      </c>
      <c r="G220" t="s">
        <v>25</v>
      </c>
      <c r="H220">
        <v>5</v>
      </c>
      <c r="I220">
        <v>1140.8900000000001</v>
      </c>
      <c r="J220">
        <v>5704.45</v>
      </c>
      <c r="K220" t="s">
        <v>22</v>
      </c>
      <c r="L220">
        <v>4</v>
      </c>
      <c r="M220" t="s">
        <v>261</v>
      </c>
    </row>
    <row r="221" spans="1:13">
      <c r="A221">
        <v>10220</v>
      </c>
      <c r="B221">
        <v>4958</v>
      </c>
      <c r="C221">
        <v>21</v>
      </c>
      <c r="D221" t="s">
        <v>13</v>
      </c>
      <c r="E221" t="s">
        <v>20</v>
      </c>
      <c r="F221" t="s">
        <v>24</v>
      </c>
      <c r="G221" t="s">
        <v>28</v>
      </c>
      <c r="H221">
        <v>2</v>
      </c>
      <c r="I221">
        <v>1371.22</v>
      </c>
      <c r="J221">
        <v>2742.44</v>
      </c>
      <c r="K221" t="s">
        <v>17</v>
      </c>
      <c r="L221">
        <v>2</v>
      </c>
      <c r="M221" t="s">
        <v>262</v>
      </c>
    </row>
    <row r="222" spans="1:13">
      <c r="A222">
        <v>10221</v>
      </c>
      <c r="B222">
        <v>3523</v>
      </c>
      <c r="C222">
        <v>32</v>
      </c>
      <c r="D222" t="s">
        <v>13</v>
      </c>
      <c r="E222" t="s">
        <v>14</v>
      </c>
      <c r="F222" t="s">
        <v>24</v>
      </c>
      <c r="G222" t="s">
        <v>62</v>
      </c>
      <c r="H222">
        <v>3</v>
      </c>
      <c r="I222">
        <v>3665.14</v>
      </c>
      <c r="J222">
        <v>10995.42</v>
      </c>
      <c r="K222" t="s">
        <v>34</v>
      </c>
      <c r="L222">
        <v>1</v>
      </c>
      <c r="M222" t="s">
        <v>263</v>
      </c>
    </row>
    <row r="223" spans="1:13">
      <c r="A223">
        <v>10222</v>
      </c>
      <c r="B223">
        <v>3275</v>
      </c>
      <c r="C223">
        <v>23</v>
      </c>
      <c r="D223" t="s">
        <v>13</v>
      </c>
      <c r="E223" t="s">
        <v>53</v>
      </c>
      <c r="F223" t="s">
        <v>21</v>
      </c>
      <c r="G223" t="s">
        <v>62</v>
      </c>
      <c r="H223">
        <v>1</v>
      </c>
      <c r="I223">
        <v>3812.7</v>
      </c>
      <c r="J223">
        <v>3812.7</v>
      </c>
      <c r="K223" t="s">
        <v>22</v>
      </c>
      <c r="L223">
        <v>1</v>
      </c>
      <c r="M223" t="s">
        <v>264</v>
      </c>
    </row>
    <row r="224" spans="1:13">
      <c r="A224">
        <v>10223</v>
      </c>
      <c r="B224">
        <v>4714</v>
      </c>
      <c r="C224">
        <v>28</v>
      </c>
      <c r="D224" t="s">
        <v>19</v>
      </c>
      <c r="E224" t="s">
        <v>43</v>
      </c>
      <c r="F224" t="s">
        <v>15</v>
      </c>
      <c r="G224" t="s">
        <v>28</v>
      </c>
      <c r="H224">
        <v>5</v>
      </c>
      <c r="I224">
        <v>3134.94</v>
      </c>
      <c r="J224">
        <v>15674.7</v>
      </c>
      <c r="K224" t="s">
        <v>39</v>
      </c>
      <c r="L224">
        <v>1</v>
      </c>
      <c r="M224" t="s">
        <v>265</v>
      </c>
    </row>
    <row r="225" spans="1:13">
      <c r="A225">
        <v>10224</v>
      </c>
      <c r="B225">
        <v>4283</v>
      </c>
      <c r="C225">
        <v>45</v>
      </c>
      <c r="D225" t="s">
        <v>19</v>
      </c>
      <c r="E225" t="s">
        <v>14</v>
      </c>
      <c r="F225" t="s">
        <v>21</v>
      </c>
      <c r="G225" t="s">
        <v>44</v>
      </c>
      <c r="H225">
        <v>3</v>
      </c>
      <c r="I225">
        <v>4423.3100000000004</v>
      </c>
      <c r="J225">
        <v>13269.93</v>
      </c>
      <c r="K225" t="s">
        <v>17</v>
      </c>
      <c r="L225">
        <v>3</v>
      </c>
      <c r="M225" t="s">
        <v>266</v>
      </c>
    </row>
    <row r="226" spans="1:13">
      <c r="A226">
        <v>10225</v>
      </c>
      <c r="B226">
        <v>2086</v>
      </c>
      <c r="C226">
        <v>51</v>
      </c>
      <c r="D226" t="s">
        <v>19</v>
      </c>
      <c r="E226" t="s">
        <v>55</v>
      </c>
      <c r="F226" t="s">
        <v>31</v>
      </c>
      <c r="G226" t="s">
        <v>28</v>
      </c>
      <c r="H226">
        <v>1</v>
      </c>
      <c r="I226">
        <v>1484.36</v>
      </c>
      <c r="J226">
        <v>1484.36</v>
      </c>
      <c r="K226" t="s">
        <v>34</v>
      </c>
      <c r="L226">
        <v>2</v>
      </c>
      <c r="M226" t="s">
        <v>267</v>
      </c>
    </row>
    <row r="227" spans="1:13">
      <c r="A227">
        <v>10226</v>
      </c>
      <c r="B227">
        <v>2391</v>
      </c>
      <c r="C227">
        <v>26</v>
      </c>
      <c r="D227" t="s">
        <v>13</v>
      </c>
      <c r="E227" t="s">
        <v>53</v>
      </c>
      <c r="F227" t="s">
        <v>50</v>
      </c>
      <c r="G227" t="s">
        <v>16</v>
      </c>
      <c r="H227">
        <v>3</v>
      </c>
      <c r="I227">
        <v>1895.59</v>
      </c>
      <c r="J227">
        <v>5686.77</v>
      </c>
      <c r="K227" t="s">
        <v>39</v>
      </c>
      <c r="L227">
        <v>3</v>
      </c>
      <c r="M227" t="s">
        <v>268</v>
      </c>
    </row>
    <row r="228" spans="1:13">
      <c r="A228">
        <v>10227</v>
      </c>
      <c r="B228">
        <v>4787</v>
      </c>
      <c r="C228">
        <v>22</v>
      </c>
      <c r="D228" t="s">
        <v>19</v>
      </c>
      <c r="E228" t="s">
        <v>30</v>
      </c>
      <c r="F228" t="s">
        <v>21</v>
      </c>
      <c r="G228" t="s">
        <v>41</v>
      </c>
      <c r="H228">
        <v>1</v>
      </c>
      <c r="I228">
        <v>2624.84</v>
      </c>
      <c r="J228">
        <v>2624.84</v>
      </c>
      <c r="K228" t="s">
        <v>34</v>
      </c>
      <c r="L228">
        <v>3</v>
      </c>
      <c r="M228" t="s">
        <v>269</v>
      </c>
    </row>
    <row r="229" spans="1:13">
      <c r="A229">
        <v>10228</v>
      </c>
      <c r="B229">
        <v>3455</v>
      </c>
      <c r="C229">
        <v>57</v>
      </c>
      <c r="D229" t="s">
        <v>13</v>
      </c>
      <c r="E229" t="s">
        <v>55</v>
      </c>
      <c r="F229" t="s">
        <v>50</v>
      </c>
      <c r="G229" t="s">
        <v>69</v>
      </c>
      <c r="H229">
        <v>3</v>
      </c>
      <c r="I229">
        <v>1780.63</v>
      </c>
      <c r="J229">
        <v>5341.89</v>
      </c>
      <c r="K229" t="s">
        <v>22</v>
      </c>
      <c r="L229">
        <v>1</v>
      </c>
      <c r="M229" t="s">
        <v>270</v>
      </c>
    </row>
    <row r="230" spans="1:13">
      <c r="A230">
        <v>10229</v>
      </c>
      <c r="B230">
        <v>2878</v>
      </c>
      <c r="C230">
        <v>50</v>
      </c>
      <c r="D230" t="s">
        <v>13</v>
      </c>
      <c r="E230" t="s">
        <v>14</v>
      </c>
      <c r="F230" t="s">
        <v>50</v>
      </c>
      <c r="G230" t="s">
        <v>44</v>
      </c>
      <c r="H230">
        <v>1</v>
      </c>
      <c r="I230">
        <v>2863.56</v>
      </c>
      <c r="J230">
        <v>2863.56</v>
      </c>
      <c r="K230" t="s">
        <v>17</v>
      </c>
      <c r="L230">
        <v>2</v>
      </c>
      <c r="M230" t="s">
        <v>271</v>
      </c>
    </row>
    <row r="231" spans="1:13">
      <c r="A231">
        <v>10230</v>
      </c>
      <c r="B231">
        <v>4492</v>
      </c>
      <c r="C231">
        <v>51</v>
      </c>
      <c r="D231" t="s">
        <v>19</v>
      </c>
      <c r="E231" t="s">
        <v>30</v>
      </c>
      <c r="F231" t="s">
        <v>21</v>
      </c>
      <c r="G231" t="s">
        <v>32</v>
      </c>
      <c r="H231">
        <v>2</v>
      </c>
      <c r="I231">
        <v>3507.65</v>
      </c>
      <c r="J231">
        <v>7015.3</v>
      </c>
      <c r="K231" t="s">
        <v>34</v>
      </c>
      <c r="L231">
        <v>4</v>
      </c>
      <c r="M231" t="s">
        <v>272</v>
      </c>
    </row>
    <row r="232" spans="1:13">
      <c r="A232">
        <v>10231</v>
      </c>
      <c r="B232">
        <v>2290</v>
      </c>
      <c r="C232">
        <v>25</v>
      </c>
      <c r="D232" t="s">
        <v>19</v>
      </c>
      <c r="E232" t="s">
        <v>20</v>
      </c>
      <c r="F232" t="s">
        <v>15</v>
      </c>
      <c r="G232" t="s">
        <v>32</v>
      </c>
      <c r="H232">
        <v>1</v>
      </c>
      <c r="I232">
        <v>1335.72</v>
      </c>
      <c r="J232">
        <v>1335.72</v>
      </c>
      <c r="K232" t="s">
        <v>39</v>
      </c>
      <c r="L232">
        <v>5</v>
      </c>
      <c r="M232" t="s">
        <v>273</v>
      </c>
    </row>
    <row r="233" spans="1:13">
      <c r="A233">
        <v>10232</v>
      </c>
      <c r="B233">
        <v>2100</v>
      </c>
      <c r="C233">
        <v>51</v>
      </c>
      <c r="D233" t="s">
        <v>13</v>
      </c>
      <c r="E233" t="s">
        <v>36</v>
      </c>
      <c r="F233" t="s">
        <v>50</v>
      </c>
      <c r="G233" t="s">
        <v>60</v>
      </c>
      <c r="H233">
        <v>2</v>
      </c>
      <c r="I233">
        <v>2581.09</v>
      </c>
      <c r="J233">
        <v>5162.18</v>
      </c>
      <c r="K233" t="s">
        <v>39</v>
      </c>
      <c r="L233">
        <v>3</v>
      </c>
      <c r="M233" t="s">
        <v>274</v>
      </c>
    </row>
    <row r="234" spans="1:13">
      <c r="A234">
        <v>10233</v>
      </c>
      <c r="B234">
        <v>4788</v>
      </c>
      <c r="C234">
        <v>32</v>
      </c>
      <c r="D234" t="s">
        <v>13</v>
      </c>
      <c r="E234" t="s">
        <v>14</v>
      </c>
      <c r="F234" t="s">
        <v>31</v>
      </c>
      <c r="G234" t="s">
        <v>32</v>
      </c>
      <c r="H234">
        <v>1</v>
      </c>
      <c r="I234">
        <v>4967.01</v>
      </c>
      <c r="J234">
        <v>4967.01</v>
      </c>
      <c r="K234" t="s">
        <v>26</v>
      </c>
      <c r="L234">
        <v>3</v>
      </c>
      <c r="M234" t="s">
        <v>275</v>
      </c>
    </row>
    <row r="235" spans="1:13">
      <c r="A235">
        <v>10234</v>
      </c>
      <c r="B235">
        <v>3824</v>
      </c>
      <c r="C235">
        <v>31</v>
      </c>
      <c r="D235" t="s">
        <v>19</v>
      </c>
      <c r="E235" t="s">
        <v>36</v>
      </c>
      <c r="F235" t="s">
        <v>31</v>
      </c>
      <c r="G235" t="s">
        <v>60</v>
      </c>
      <c r="H235">
        <v>2</v>
      </c>
      <c r="I235">
        <v>1823.56</v>
      </c>
      <c r="J235">
        <v>3647.12</v>
      </c>
      <c r="K235" t="s">
        <v>22</v>
      </c>
      <c r="L235">
        <v>1</v>
      </c>
      <c r="M235" t="s">
        <v>276</v>
      </c>
    </row>
    <row r="236" spans="1:13">
      <c r="A236">
        <v>10235</v>
      </c>
      <c r="B236">
        <v>3939</v>
      </c>
      <c r="C236">
        <v>39</v>
      </c>
      <c r="D236" t="s">
        <v>19</v>
      </c>
      <c r="E236" t="s">
        <v>14</v>
      </c>
      <c r="F236" t="s">
        <v>38</v>
      </c>
      <c r="G236" t="s">
        <v>41</v>
      </c>
      <c r="H236">
        <v>4</v>
      </c>
      <c r="I236">
        <v>466.2</v>
      </c>
      <c r="J236">
        <v>1864.8</v>
      </c>
      <c r="K236" t="s">
        <v>17</v>
      </c>
      <c r="L236">
        <v>4</v>
      </c>
      <c r="M236" t="s">
        <v>277</v>
      </c>
    </row>
    <row r="237" spans="1:13">
      <c r="A237">
        <v>10236</v>
      </c>
      <c r="B237">
        <v>4499</v>
      </c>
      <c r="C237">
        <v>54</v>
      </c>
      <c r="D237" t="s">
        <v>13</v>
      </c>
      <c r="E237" t="s">
        <v>55</v>
      </c>
      <c r="F237" t="s">
        <v>21</v>
      </c>
      <c r="G237" t="s">
        <v>44</v>
      </c>
      <c r="H237">
        <v>5</v>
      </c>
      <c r="I237">
        <v>4141.55</v>
      </c>
      <c r="J237">
        <v>20707.75</v>
      </c>
      <c r="K237" t="s">
        <v>34</v>
      </c>
      <c r="L237">
        <v>4</v>
      </c>
      <c r="M237" t="s">
        <v>278</v>
      </c>
    </row>
    <row r="238" spans="1:13">
      <c r="A238">
        <v>10237</v>
      </c>
      <c r="B238">
        <v>4840</v>
      </c>
      <c r="C238">
        <v>30</v>
      </c>
      <c r="D238" t="s">
        <v>19</v>
      </c>
      <c r="E238" t="s">
        <v>55</v>
      </c>
      <c r="F238" t="s">
        <v>24</v>
      </c>
      <c r="G238" t="s">
        <v>60</v>
      </c>
      <c r="H238">
        <v>2</v>
      </c>
      <c r="I238">
        <v>2665.54</v>
      </c>
      <c r="J238">
        <v>5331.08</v>
      </c>
      <c r="K238" t="s">
        <v>17</v>
      </c>
      <c r="L238">
        <v>1</v>
      </c>
      <c r="M238" t="s">
        <v>279</v>
      </c>
    </row>
    <row r="239" spans="1:13">
      <c r="A239">
        <v>10238</v>
      </c>
      <c r="B239">
        <v>4277</v>
      </c>
      <c r="C239">
        <v>44</v>
      </c>
      <c r="D239" t="s">
        <v>19</v>
      </c>
      <c r="E239" t="s">
        <v>36</v>
      </c>
      <c r="F239" t="s">
        <v>24</v>
      </c>
      <c r="G239" t="s">
        <v>60</v>
      </c>
      <c r="H239">
        <v>5</v>
      </c>
      <c r="I239">
        <v>548.08000000000004</v>
      </c>
      <c r="J239">
        <v>2740.4</v>
      </c>
      <c r="K239" t="s">
        <v>17</v>
      </c>
      <c r="L239">
        <v>3</v>
      </c>
      <c r="M239" t="s">
        <v>280</v>
      </c>
    </row>
    <row r="240" spans="1:13">
      <c r="A240">
        <v>10239</v>
      </c>
      <c r="B240">
        <v>3630</v>
      </c>
      <c r="C240">
        <v>36</v>
      </c>
      <c r="D240" t="s">
        <v>13</v>
      </c>
      <c r="E240" t="s">
        <v>14</v>
      </c>
      <c r="F240" t="s">
        <v>50</v>
      </c>
      <c r="G240" t="s">
        <v>69</v>
      </c>
      <c r="H240">
        <v>1</v>
      </c>
      <c r="I240">
        <v>4484.43</v>
      </c>
      <c r="J240">
        <v>4484.43</v>
      </c>
      <c r="K240" t="s">
        <v>34</v>
      </c>
      <c r="L240">
        <v>5</v>
      </c>
      <c r="M240" t="s">
        <v>281</v>
      </c>
    </row>
    <row r="241" spans="1:13">
      <c r="A241">
        <v>10240</v>
      </c>
      <c r="B241">
        <v>4214</v>
      </c>
      <c r="C241">
        <v>55</v>
      </c>
      <c r="D241" t="s">
        <v>13</v>
      </c>
      <c r="E241" t="s">
        <v>30</v>
      </c>
      <c r="F241" t="s">
        <v>31</v>
      </c>
      <c r="G241" t="s">
        <v>16</v>
      </c>
      <c r="H241">
        <v>2</v>
      </c>
      <c r="I241">
        <v>2201.2199999999998</v>
      </c>
      <c r="J241">
        <v>4402.4399999999996</v>
      </c>
      <c r="K241" t="s">
        <v>26</v>
      </c>
      <c r="L241">
        <v>5</v>
      </c>
      <c r="M241" t="s">
        <v>282</v>
      </c>
    </row>
    <row r="242" spans="1:13">
      <c r="A242">
        <v>10241</v>
      </c>
      <c r="B242">
        <v>2687</v>
      </c>
      <c r="C242">
        <v>53</v>
      </c>
      <c r="D242" t="s">
        <v>19</v>
      </c>
      <c r="E242" t="s">
        <v>53</v>
      </c>
      <c r="F242" t="s">
        <v>31</v>
      </c>
      <c r="G242" t="s">
        <v>44</v>
      </c>
      <c r="H242">
        <v>3</v>
      </c>
      <c r="I242">
        <v>4667.58</v>
      </c>
      <c r="J242">
        <v>14002.74</v>
      </c>
      <c r="K242" t="s">
        <v>17</v>
      </c>
      <c r="L242">
        <v>1</v>
      </c>
      <c r="M242" t="s">
        <v>283</v>
      </c>
    </row>
    <row r="243" spans="1:13">
      <c r="A243">
        <v>10242</v>
      </c>
      <c r="B243">
        <v>2901</v>
      </c>
      <c r="C243">
        <v>30</v>
      </c>
      <c r="D243" t="s">
        <v>19</v>
      </c>
      <c r="E243" t="s">
        <v>55</v>
      </c>
      <c r="F243" t="s">
        <v>24</v>
      </c>
      <c r="G243" t="s">
        <v>41</v>
      </c>
      <c r="H243">
        <v>4</v>
      </c>
      <c r="I243">
        <v>2189.77</v>
      </c>
      <c r="J243">
        <v>8759.08</v>
      </c>
      <c r="K243" t="s">
        <v>22</v>
      </c>
      <c r="L243">
        <v>1</v>
      </c>
      <c r="M243" t="s">
        <v>284</v>
      </c>
    </row>
    <row r="244" spans="1:13">
      <c r="A244">
        <v>10243</v>
      </c>
      <c r="B244">
        <v>4127</v>
      </c>
      <c r="C244">
        <v>59</v>
      </c>
      <c r="D244" t="s">
        <v>19</v>
      </c>
      <c r="E244" t="s">
        <v>55</v>
      </c>
      <c r="F244" t="s">
        <v>21</v>
      </c>
      <c r="G244" t="s">
        <v>41</v>
      </c>
      <c r="H244">
        <v>5</v>
      </c>
      <c r="I244">
        <v>661.11</v>
      </c>
      <c r="J244">
        <v>3305.55</v>
      </c>
      <c r="K244" t="s">
        <v>39</v>
      </c>
      <c r="L244">
        <v>2</v>
      </c>
      <c r="M244" t="s">
        <v>285</v>
      </c>
    </row>
    <row r="245" spans="1:13">
      <c r="A245">
        <v>10244</v>
      </c>
      <c r="B245">
        <v>3111</v>
      </c>
      <c r="C245">
        <v>53</v>
      </c>
      <c r="D245" t="s">
        <v>13</v>
      </c>
      <c r="E245" t="s">
        <v>36</v>
      </c>
      <c r="F245" t="s">
        <v>31</v>
      </c>
      <c r="G245" t="s">
        <v>25</v>
      </c>
      <c r="H245">
        <v>4</v>
      </c>
      <c r="I245">
        <v>1452.92</v>
      </c>
      <c r="J245">
        <v>5811.68</v>
      </c>
      <c r="K245" t="s">
        <v>34</v>
      </c>
      <c r="L245">
        <v>5</v>
      </c>
      <c r="M245" t="s">
        <v>286</v>
      </c>
    </row>
    <row r="246" spans="1:13">
      <c r="A246">
        <v>10245</v>
      </c>
      <c r="B246">
        <v>4464</v>
      </c>
      <c r="C246">
        <v>43</v>
      </c>
      <c r="D246" t="s">
        <v>13</v>
      </c>
      <c r="E246" t="s">
        <v>43</v>
      </c>
      <c r="F246" t="s">
        <v>21</v>
      </c>
      <c r="G246" t="s">
        <v>28</v>
      </c>
      <c r="H246">
        <v>4</v>
      </c>
      <c r="I246">
        <v>1946.22</v>
      </c>
      <c r="J246">
        <v>7784.88</v>
      </c>
      <c r="K246" t="s">
        <v>34</v>
      </c>
      <c r="L246">
        <v>1</v>
      </c>
      <c r="M246" t="s">
        <v>287</v>
      </c>
    </row>
    <row r="247" spans="1:13">
      <c r="A247">
        <v>10246</v>
      </c>
      <c r="B247">
        <v>3834</v>
      </c>
      <c r="C247">
        <v>55</v>
      </c>
      <c r="D247" t="s">
        <v>13</v>
      </c>
      <c r="E247" t="s">
        <v>14</v>
      </c>
      <c r="F247" t="s">
        <v>31</v>
      </c>
      <c r="G247" t="s">
        <v>69</v>
      </c>
      <c r="H247">
        <v>3</v>
      </c>
      <c r="I247">
        <v>3828.42</v>
      </c>
      <c r="J247">
        <v>11485.26</v>
      </c>
      <c r="K247" t="s">
        <v>22</v>
      </c>
      <c r="L247">
        <v>3</v>
      </c>
      <c r="M247" t="s">
        <v>288</v>
      </c>
    </row>
    <row r="248" spans="1:13">
      <c r="A248">
        <v>10247</v>
      </c>
      <c r="B248">
        <v>2714</v>
      </c>
      <c r="C248">
        <v>19</v>
      </c>
      <c r="D248" t="s">
        <v>13</v>
      </c>
      <c r="E248" t="s">
        <v>43</v>
      </c>
      <c r="F248" t="s">
        <v>31</v>
      </c>
      <c r="G248" t="s">
        <v>16</v>
      </c>
      <c r="H248">
        <v>5</v>
      </c>
      <c r="I248">
        <v>1168.32</v>
      </c>
      <c r="J248">
        <v>5841.6</v>
      </c>
      <c r="K248" t="s">
        <v>26</v>
      </c>
      <c r="L248">
        <v>1</v>
      </c>
      <c r="M248" t="s">
        <v>289</v>
      </c>
    </row>
    <row r="249" spans="1:13">
      <c r="A249">
        <v>10248</v>
      </c>
      <c r="B249">
        <v>2706</v>
      </c>
      <c r="C249">
        <v>59</v>
      </c>
      <c r="D249" t="s">
        <v>13</v>
      </c>
      <c r="E249" t="s">
        <v>43</v>
      </c>
      <c r="F249" t="s">
        <v>15</v>
      </c>
      <c r="G249" t="s">
        <v>44</v>
      </c>
      <c r="H249">
        <v>3</v>
      </c>
      <c r="I249">
        <v>2325.58</v>
      </c>
      <c r="J249">
        <v>6976.74</v>
      </c>
      <c r="K249" t="s">
        <v>22</v>
      </c>
      <c r="L249">
        <v>5</v>
      </c>
      <c r="M249" t="s">
        <v>290</v>
      </c>
    </row>
    <row r="250" spans="1:13">
      <c r="A250">
        <v>10249</v>
      </c>
      <c r="B250">
        <v>3762</v>
      </c>
      <c r="C250">
        <v>18</v>
      </c>
      <c r="D250" t="s">
        <v>19</v>
      </c>
      <c r="E250" t="s">
        <v>20</v>
      </c>
      <c r="F250" t="s">
        <v>15</v>
      </c>
      <c r="G250" t="s">
        <v>16</v>
      </c>
      <c r="H250">
        <v>4</v>
      </c>
      <c r="I250">
        <v>4404.25</v>
      </c>
      <c r="J250">
        <v>17617</v>
      </c>
      <c r="K250" t="s">
        <v>39</v>
      </c>
      <c r="L250">
        <v>3</v>
      </c>
      <c r="M250" t="s">
        <v>291</v>
      </c>
    </row>
    <row r="251" spans="1:13">
      <c r="A251">
        <v>10250</v>
      </c>
      <c r="B251">
        <v>4705</v>
      </c>
      <c r="C251">
        <v>33</v>
      </c>
      <c r="D251" t="s">
        <v>13</v>
      </c>
      <c r="E251" t="s">
        <v>20</v>
      </c>
      <c r="F251" t="s">
        <v>21</v>
      </c>
      <c r="G251" t="s">
        <v>41</v>
      </c>
      <c r="H251">
        <v>5</v>
      </c>
      <c r="I251">
        <v>2808.68</v>
      </c>
      <c r="J251">
        <v>14043.4</v>
      </c>
      <c r="K251" t="s">
        <v>22</v>
      </c>
      <c r="L251">
        <v>3</v>
      </c>
      <c r="M251" t="s">
        <v>292</v>
      </c>
    </row>
    <row r="252" spans="1:13">
      <c r="A252">
        <v>10251</v>
      </c>
      <c r="B252">
        <v>2324</v>
      </c>
      <c r="C252">
        <v>46</v>
      </c>
      <c r="D252" t="s">
        <v>19</v>
      </c>
      <c r="E252" t="s">
        <v>30</v>
      </c>
      <c r="F252" t="s">
        <v>50</v>
      </c>
      <c r="G252" t="s">
        <v>32</v>
      </c>
      <c r="H252">
        <v>3</v>
      </c>
      <c r="I252">
        <v>784.83</v>
      </c>
      <c r="J252">
        <v>2354.4899999999998</v>
      </c>
      <c r="K252" t="s">
        <v>26</v>
      </c>
      <c r="L252">
        <v>4</v>
      </c>
      <c r="M252" t="s">
        <v>293</v>
      </c>
    </row>
    <row r="253" spans="1:13">
      <c r="A253">
        <v>10252</v>
      </c>
      <c r="B253">
        <v>4880</v>
      </c>
      <c r="C253">
        <v>58</v>
      </c>
      <c r="D253" t="s">
        <v>13</v>
      </c>
      <c r="E253" t="s">
        <v>55</v>
      </c>
      <c r="F253" t="s">
        <v>38</v>
      </c>
      <c r="G253" t="s">
        <v>28</v>
      </c>
      <c r="H253">
        <v>2</v>
      </c>
      <c r="I253">
        <v>415.26</v>
      </c>
      <c r="J253">
        <v>830.52</v>
      </c>
      <c r="K253" t="s">
        <v>34</v>
      </c>
      <c r="L253">
        <v>4</v>
      </c>
      <c r="M253" t="s">
        <v>294</v>
      </c>
    </row>
    <row r="254" spans="1:13">
      <c r="A254">
        <v>10253</v>
      </c>
      <c r="B254">
        <v>4254</v>
      </c>
      <c r="C254">
        <v>24</v>
      </c>
      <c r="D254" t="s">
        <v>19</v>
      </c>
      <c r="E254" t="s">
        <v>20</v>
      </c>
      <c r="F254" t="s">
        <v>15</v>
      </c>
      <c r="G254" t="s">
        <v>69</v>
      </c>
      <c r="H254">
        <v>5</v>
      </c>
      <c r="I254">
        <v>3617.31</v>
      </c>
      <c r="J254">
        <v>18086.55</v>
      </c>
      <c r="K254" t="s">
        <v>17</v>
      </c>
      <c r="L254">
        <v>4</v>
      </c>
      <c r="M254" t="s">
        <v>295</v>
      </c>
    </row>
    <row r="255" spans="1:13">
      <c r="A255">
        <v>10254</v>
      </c>
      <c r="B255">
        <v>2145</v>
      </c>
      <c r="C255">
        <v>50</v>
      </c>
      <c r="D255" t="s">
        <v>19</v>
      </c>
      <c r="E255" t="s">
        <v>20</v>
      </c>
      <c r="F255" t="s">
        <v>15</v>
      </c>
      <c r="G255" t="s">
        <v>60</v>
      </c>
      <c r="H255">
        <v>4</v>
      </c>
      <c r="I255">
        <v>4901.8999999999996</v>
      </c>
      <c r="J255">
        <v>19607.599999999999</v>
      </c>
      <c r="K255" t="s">
        <v>39</v>
      </c>
      <c r="L255">
        <v>3</v>
      </c>
      <c r="M255" t="s">
        <v>296</v>
      </c>
    </row>
    <row r="256" spans="1:13">
      <c r="A256">
        <v>10255</v>
      </c>
      <c r="B256">
        <v>3191</v>
      </c>
      <c r="C256">
        <v>44</v>
      </c>
      <c r="D256" t="s">
        <v>13</v>
      </c>
      <c r="E256" t="s">
        <v>55</v>
      </c>
      <c r="F256" t="s">
        <v>50</v>
      </c>
      <c r="G256" t="s">
        <v>62</v>
      </c>
      <c r="H256">
        <v>3</v>
      </c>
      <c r="I256">
        <v>3990.28</v>
      </c>
      <c r="J256">
        <v>11970.84</v>
      </c>
      <c r="K256" t="s">
        <v>26</v>
      </c>
      <c r="L256">
        <v>2</v>
      </c>
      <c r="M256" t="s">
        <v>297</v>
      </c>
    </row>
    <row r="257" spans="1:13">
      <c r="A257">
        <v>10256</v>
      </c>
      <c r="B257">
        <v>3187</v>
      </c>
      <c r="C257">
        <v>38</v>
      </c>
      <c r="D257" t="s">
        <v>13</v>
      </c>
      <c r="E257" t="s">
        <v>53</v>
      </c>
      <c r="F257" t="s">
        <v>31</v>
      </c>
      <c r="G257" t="s">
        <v>60</v>
      </c>
      <c r="H257">
        <v>1</v>
      </c>
      <c r="I257">
        <v>3894.21</v>
      </c>
      <c r="J257">
        <v>3894.21</v>
      </c>
      <c r="K257" t="s">
        <v>22</v>
      </c>
      <c r="L257">
        <v>3</v>
      </c>
      <c r="M257" t="s">
        <v>298</v>
      </c>
    </row>
    <row r="258" spans="1:13">
      <c r="A258">
        <v>10257</v>
      </c>
      <c r="B258">
        <v>2465</v>
      </c>
      <c r="C258">
        <v>56</v>
      </c>
      <c r="D258" t="s">
        <v>19</v>
      </c>
      <c r="E258" t="s">
        <v>43</v>
      </c>
      <c r="F258" t="s">
        <v>38</v>
      </c>
      <c r="G258" t="s">
        <v>62</v>
      </c>
      <c r="H258">
        <v>1</v>
      </c>
      <c r="I258">
        <v>3474.6</v>
      </c>
      <c r="J258">
        <v>3474.6</v>
      </c>
      <c r="K258" t="s">
        <v>26</v>
      </c>
      <c r="L258">
        <v>2</v>
      </c>
      <c r="M258" t="s">
        <v>299</v>
      </c>
    </row>
    <row r="259" spans="1:13">
      <c r="A259">
        <v>10258</v>
      </c>
      <c r="B259">
        <v>3692</v>
      </c>
      <c r="C259">
        <v>19</v>
      </c>
      <c r="D259" t="s">
        <v>13</v>
      </c>
      <c r="E259" t="s">
        <v>53</v>
      </c>
      <c r="F259" t="s">
        <v>38</v>
      </c>
      <c r="G259" t="s">
        <v>60</v>
      </c>
      <c r="H259">
        <v>3</v>
      </c>
      <c r="I259">
        <v>4038.86</v>
      </c>
      <c r="J259">
        <v>12116.58</v>
      </c>
      <c r="K259" t="s">
        <v>17</v>
      </c>
      <c r="L259">
        <v>4</v>
      </c>
      <c r="M259" t="s">
        <v>300</v>
      </c>
    </row>
    <row r="260" spans="1:13">
      <c r="A260">
        <v>10259</v>
      </c>
      <c r="B260">
        <v>3686</v>
      </c>
      <c r="C260">
        <v>34</v>
      </c>
      <c r="D260" t="s">
        <v>19</v>
      </c>
      <c r="E260" t="s">
        <v>53</v>
      </c>
      <c r="F260" t="s">
        <v>15</v>
      </c>
      <c r="G260" t="s">
        <v>32</v>
      </c>
      <c r="H260">
        <v>3</v>
      </c>
      <c r="I260">
        <v>488.08</v>
      </c>
      <c r="J260">
        <v>1464.24</v>
      </c>
      <c r="K260" t="s">
        <v>26</v>
      </c>
      <c r="L260">
        <v>5</v>
      </c>
      <c r="M260" t="s">
        <v>301</v>
      </c>
    </row>
    <row r="261" spans="1:13">
      <c r="A261">
        <v>10260</v>
      </c>
      <c r="B261">
        <v>3830</v>
      </c>
      <c r="C261">
        <v>43</v>
      </c>
      <c r="D261" t="s">
        <v>13</v>
      </c>
      <c r="E261" t="s">
        <v>43</v>
      </c>
      <c r="F261" t="s">
        <v>24</v>
      </c>
      <c r="G261" t="s">
        <v>32</v>
      </c>
      <c r="H261">
        <v>5</v>
      </c>
      <c r="I261">
        <v>1544</v>
      </c>
      <c r="J261">
        <v>7720</v>
      </c>
      <c r="K261" t="s">
        <v>34</v>
      </c>
      <c r="L261">
        <v>4</v>
      </c>
      <c r="M261" t="s">
        <v>302</v>
      </c>
    </row>
    <row r="262" spans="1:13">
      <c r="A262">
        <v>10261</v>
      </c>
      <c r="B262">
        <v>4729</v>
      </c>
      <c r="C262">
        <v>37</v>
      </c>
      <c r="D262" t="s">
        <v>19</v>
      </c>
      <c r="E262" t="s">
        <v>20</v>
      </c>
      <c r="F262" t="s">
        <v>50</v>
      </c>
      <c r="G262" t="s">
        <v>62</v>
      </c>
      <c r="H262">
        <v>1</v>
      </c>
      <c r="I262">
        <v>3568.37</v>
      </c>
      <c r="J262">
        <v>3568.37</v>
      </c>
      <c r="K262" t="s">
        <v>39</v>
      </c>
      <c r="L262">
        <v>5</v>
      </c>
      <c r="M262" t="s">
        <v>303</v>
      </c>
    </row>
    <row r="263" spans="1:13">
      <c r="A263">
        <v>10262</v>
      </c>
      <c r="B263">
        <v>4506</v>
      </c>
      <c r="C263">
        <v>48</v>
      </c>
      <c r="D263" t="s">
        <v>19</v>
      </c>
      <c r="E263" t="s">
        <v>43</v>
      </c>
      <c r="F263" t="s">
        <v>38</v>
      </c>
      <c r="G263" t="s">
        <v>56</v>
      </c>
      <c r="H263">
        <v>2</v>
      </c>
      <c r="I263">
        <v>4374.8500000000004</v>
      </c>
      <c r="J263">
        <v>8749.7000000000007</v>
      </c>
      <c r="K263" t="s">
        <v>22</v>
      </c>
      <c r="L263">
        <v>1</v>
      </c>
      <c r="M263" t="s">
        <v>304</v>
      </c>
    </row>
    <row r="264" spans="1:13">
      <c r="A264">
        <v>10263</v>
      </c>
      <c r="B264">
        <v>3741</v>
      </c>
      <c r="C264">
        <v>18</v>
      </c>
      <c r="D264" t="s">
        <v>19</v>
      </c>
      <c r="E264" t="s">
        <v>43</v>
      </c>
      <c r="F264" t="s">
        <v>15</v>
      </c>
      <c r="G264" t="s">
        <v>32</v>
      </c>
      <c r="H264">
        <v>3</v>
      </c>
      <c r="I264">
        <v>3470.65</v>
      </c>
      <c r="J264">
        <v>10411.950000000001</v>
      </c>
      <c r="K264" t="s">
        <v>17</v>
      </c>
      <c r="L264">
        <v>1</v>
      </c>
      <c r="M264" t="s">
        <v>305</v>
      </c>
    </row>
    <row r="265" spans="1:13">
      <c r="A265">
        <v>10264</v>
      </c>
      <c r="B265">
        <v>3350</v>
      </c>
      <c r="C265">
        <v>39</v>
      </c>
      <c r="D265" t="s">
        <v>19</v>
      </c>
      <c r="E265" t="s">
        <v>43</v>
      </c>
      <c r="F265" t="s">
        <v>24</v>
      </c>
      <c r="G265" t="s">
        <v>69</v>
      </c>
      <c r="H265">
        <v>4</v>
      </c>
      <c r="I265">
        <v>1128.5</v>
      </c>
      <c r="J265">
        <v>4514</v>
      </c>
      <c r="K265" t="s">
        <v>22</v>
      </c>
      <c r="L265">
        <v>4</v>
      </c>
      <c r="M265" t="s">
        <v>306</v>
      </c>
    </row>
    <row r="266" spans="1:13">
      <c r="A266">
        <v>10265</v>
      </c>
      <c r="B266">
        <v>3689</v>
      </c>
      <c r="C266">
        <v>51</v>
      </c>
      <c r="D266" t="s">
        <v>13</v>
      </c>
      <c r="E266" t="s">
        <v>43</v>
      </c>
      <c r="F266" t="s">
        <v>24</v>
      </c>
      <c r="G266" t="s">
        <v>16</v>
      </c>
      <c r="H266">
        <v>5</v>
      </c>
      <c r="I266">
        <v>4700.6499999999996</v>
      </c>
      <c r="J266">
        <v>23503.25</v>
      </c>
      <c r="K266" t="s">
        <v>26</v>
      </c>
      <c r="L266">
        <v>2</v>
      </c>
      <c r="M266" t="s">
        <v>307</v>
      </c>
    </row>
    <row r="267" spans="1:13">
      <c r="A267">
        <v>10266</v>
      </c>
      <c r="B267">
        <v>4288</v>
      </c>
      <c r="C267">
        <v>19</v>
      </c>
      <c r="D267" t="s">
        <v>19</v>
      </c>
      <c r="E267" t="s">
        <v>43</v>
      </c>
      <c r="F267" t="s">
        <v>24</v>
      </c>
      <c r="G267" t="s">
        <v>69</v>
      </c>
      <c r="H267">
        <v>2</v>
      </c>
      <c r="I267">
        <v>4545.88</v>
      </c>
      <c r="J267">
        <v>9091.76</v>
      </c>
      <c r="K267" t="s">
        <v>22</v>
      </c>
      <c r="L267">
        <v>3</v>
      </c>
      <c r="M267" t="s">
        <v>308</v>
      </c>
    </row>
    <row r="268" spans="1:13">
      <c r="A268">
        <v>10267</v>
      </c>
      <c r="B268">
        <v>3072</v>
      </c>
      <c r="C268">
        <v>43</v>
      </c>
      <c r="D268" t="s">
        <v>19</v>
      </c>
      <c r="E268" t="s">
        <v>36</v>
      </c>
      <c r="F268" t="s">
        <v>21</v>
      </c>
      <c r="G268" t="s">
        <v>62</v>
      </c>
      <c r="H268">
        <v>2</v>
      </c>
      <c r="I268">
        <v>707.39</v>
      </c>
      <c r="J268">
        <v>1414.78</v>
      </c>
      <c r="K268" t="s">
        <v>17</v>
      </c>
      <c r="L268">
        <v>2</v>
      </c>
      <c r="M268" t="s">
        <v>309</v>
      </c>
    </row>
    <row r="269" spans="1:13">
      <c r="A269">
        <v>10268</v>
      </c>
      <c r="B269">
        <v>2690</v>
      </c>
      <c r="C269">
        <v>56</v>
      </c>
      <c r="D269" t="s">
        <v>13</v>
      </c>
      <c r="E269" t="s">
        <v>53</v>
      </c>
      <c r="F269" t="s">
        <v>38</v>
      </c>
      <c r="G269" t="s">
        <v>60</v>
      </c>
      <c r="H269">
        <v>5</v>
      </c>
      <c r="I269">
        <v>1207.0999999999999</v>
      </c>
      <c r="J269">
        <v>6035.5</v>
      </c>
      <c r="K269" t="s">
        <v>34</v>
      </c>
      <c r="L269">
        <v>5</v>
      </c>
      <c r="M269" t="s">
        <v>310</v>
      </c>
    </row>
    <row r="270" spans="1:13">
      <c r="A270">
        <v>10269</v>
      </c>
      <c r="B270">
        <v>3982</v>
      </c>
      <c r="C270">
        <v>30</v>
      </c>
      <c r="D270" t="s">
        <v>19</v>
      </c>
      <c r="E270" t="s">
        <v>53</v>
      </c>
      <c r="F270" t="s">
        <v>21</v>
      </c>
      <c r="G270" t="s">
        <v>28</v>
      </c>
      <c r="H270">
        <v>5</v>
      </c>
      <c r="I270">
        <v>1593.41</v>
      </c>
      <c r="J270">
        <v>7967.05</v>
      </c>
      <c r="K270" t="s">
        <v>17</v>
      </c>
      <c r="L270">
        <v>5</v>
      </c>
      <c r="M270" t="s">
        <v>311</v>
      </c>
    </row>
    <row r="271" spans="1:13">
      <c r="A271">
        <v>10270</v>
      </c>
      <c r="B271">
        <v>3324</v>
      </c>
      <c r="C271">
        <v>36</v>
      </c>
      <c r="D271" t="s">
        <v>19</v>
      </c>
      <c r="E271" t="s">
        <v>43</v>
      </c>
      <c r="F271" t="s">
        <v>50</v>
      </c>
      <c r="G271" t="s">
        <v>25</v>
      </c>
      <c r="H271">
        <v>5</v>
      </c>
      <c r="I271">
        <v>3770.54</v>
      </c>
      <c r="J271">
        <v>18852.7</v>
      </c>
      <c r="K271" t="s">
        <v>39</v>
      </c>
      <c r="L271">
        <v>1</v>
      </c>
      <c r="M271" t="s">
        <v>312</v>
      </c>
    </row>
    <row r="272" spans="1:13">
      <c r="A272">
        <v>10271</v>
      </c>
      <c r="B272">
        <v>2617</v>
      </c>
      <c r="C272">
        <v>31</v>
      </c>
      <c r="D272" t="s">
        <v>19</v>
      </c>
      <c r="E272" t="s">
        <v>43</v>
      </c>
      <c r="F272" t="s">
        <v>21</v>
      </c>
      <c r="G272" t="s">
        <v>44</v>
      </c>
      <c r="H272">
        <v>5</v>
      </c>
      <c r="I272">
        <v>4339.05</v>
      </c>
      <c r="J272">
        <v>21695.25</v>
      </c>
      <c r="K272" t="s">
        <v>22</v>
      </c>
      <c r="L272">
        <v>2</v>
      </c>
      <c r="M272" t="s">
        <v>313</v>
      </c>
    </row>
    <row r="273" spans="1:13">
      <c r="A273">
        <v>10272</v>
      </c>
      <c r="B273">
        <v>4230</v>
      </c>
      <c r="C273">
        <v>31</v>
      </c>
      <c r="D273" t="s">
        <v>19</v>
      </c>
      <c r="E273" t="s">
        <v>55</v>
      </c>
      <c r="F273" t="s">
        <v>50</v>
      </c>
      <c r="G273" t="s">
        <v>28</v>
      </c>
      <c r="H273">
        <v>4</v>
      </c>
      <c r="I273">
        <v>3018.12</v>
      </c>
      <c r="J273">
        <v>12072.48</v>
      </c>
      <c r="K273" t="s">
        <v>39</v>
      </c>
      <c r="L273">
        <v>2</v>
      </c>
      <c r="M273" t="s">
        <v>314</v>
      </c>
    </row>
    <row r="274" spans="1:13">
      <c r="A274">
        <v>10273</v>
      </c>
      <c r="B274">
        <v>3366</v>
      </c>
      <c r="C274">
        <v>42</v>
      </c>
      <c r="D274" t="s">
        <v>19</v>
      </c>
      <c r="E274" t="s">
        <v>36</v>
      </c>
      <c r="F274" t="s">
        <v>38</v>
      </c>
      <c r="G274" t="s">
        <v>56</v>
      </c>
      <c r="H274">
        <v>1</v>
      </c>
      <c r="I274">
        <v>1238.33</v>
      </c>
      <c r="J274">
        <v>1238.33</v>
      </c>
      <c r="K274" t="s">
        <v>39</v>
      </c>
      <c r="L274">
        <v>1</v>
      </c>
      <c r="M274" t="s">
        <v>315</v>
      </c>
    </row>
    <row r="275" spans="1:13">
      <c r="A275">
        <v>10274</v>
      </c>
      <c r="B275">
        <v>3527</v>
      </c>
      <c r="C275">
        <v>44</v>
      </c>
      <c r="D275" t="s">
        <v>13</v>
      </c>
      <c r="E275" t="s">
        <v>30</v>
      </c>
      <c r="F275" t="s">
        <v>15</v>
      </c>
      <c r="G275" t="s">
        <v>25</v>
      </c>
      <c r="H275">
        <v>5</v>
      </c>
      <c r="I275">
        <v>2250.92</v>
      </c>
      <c r="J275">
        <v>11254.6</v>
      </c>
      <c r="K275" t="s">
        <v>34</v>
      </c>
      <c r="L275">
        <v>4</v>
      </c>
      <c r="M275" t="s">
        <v>316</v>
      </c>
    </row>
    <row r="276" spans="1:13">
      <c r="A276">
        <v>10275</v>
      </c>
      <c r="B276">
        <v>4832</v>
      </c>
      <c r="C276">
        <v>37</v>
      </c>
      <c r="D276" t="s">
        <v>13</v>
      </c>
      <c r="E276" t="s">
        <v>30</v>
      </c>
      <c r="F276" t="s">
        <v>38</v>
      </c>
      <c r="G276" t="s">
        <v>28</v>
      </c>
      <c r="H276">
        <v>3</v>
      </c>
      <c r="I276">
        <v>947.94</v>
      </c>
      <c r="J276">
        <v>2843.82</v>
      </c>
      <c r="K276" t="s">
        <v>39</v>
      </c>
      <c r="L276">
        <v>5</v>
      </c>
      <c r="M276" t="s">
        <v>317</v>
      </c>
    </row>
    <row r="277" spans="1:13">
      <c r="A277">
        <v>10276</v>
      </c>
      <c r="B277">
        <v>3801</v>
      </c>
      <c r="C277">
        <v>57</v>
      </c>
      <c r="D277" t="s">
        <v>13</v>
      </c>
      <c r="E277" t="s">
        <v>14</v>
      </c>
      <c r="F277" t="s">
        <v>24</v>
      </c>
      <c r="G277" t="s">
        <v>32</v>
      </c>
      <c r="H277">
        <v>3</v>
      </c>
      <c r="I277">
        <v>4611.76</v>
      </c>
      <c r="J277">
        <v>13835.28</v>
      </c>
      <c r="K277" t="s">
        <v>17</v>
      </c>
      <c r="L277">
        <v>1</v>
      </c>
      <c r="M277" t="s">
        <v>318</v>
      </c>
    </row>
    <row r="278" spans="1:13">
      <c r="A278">
        <v>10277</v>
      </c>
      <c r="B278">
        <v>2624</v>
      </c>
      <c r="C278">
        <v>52</v>
      </c>
      <c r="D278" t="s">
        <v>19</v>
      </c>
      <c r="E278" t="s">
        <v>43</v>
      </c>
      <c r="F278" t="s">
        <v>21</v>
      </c>
      <c r="G278" t="s">
        <v>41</v>
      </c>
      <c r="H278">
        <v>5</v>
      </c>
      <c r="I278">
        <v>3893.3</v>
      </c>
      <c r="J278">
        <v>19466.5</v>
      </c>
      <c r="K278" t="s">
        <v>22</v>
      </c>
      <c r="L278">
        <v>3</v>
      </c>
      <c r="M278" t="s">
        <v>319</v>
      </c>
    </row>
    <row r="279" spans="1:13">
      <c r="A279">
        <v>10278</v>
      </c>
      <c r="B279">
        <v>4780</v>
      </c>
      <c r="C279">
        <v>33</v>
      </c>
      <c r="D279" t="s">
        <v>13</v>
      </c>
      <c r="E279" t="s">
        <v>55</v>
      </c>
      <c r="F279" t="s">
        <v>50</v>
      </c>
      <c r="G279" t="s">
        <v>41</v>
      </c>
      <c r="H279">
        <v>1</v>
      </c>
      <c r="I279">
        <v>2698.01</v>
      </c>
      <c r="J279">
        <v>2698.01</v>
      </c>
      <c r="K279" t="s">
        <v>22</v>
      </c>
      <c r="L279">
        <v>4</v>
      </c>
      <c r="M279" t="s">
        <v>320</v>
      </c>
    </row>
    <row r="280" spans="1:13">
      <c r="A280">
        <v>10279</v>
      </c>
      <c r="B280">
        <v>3075</v>
      </c>
      <c r="C280">
        <v>55</v>
      </c>
      <c r="D280" t="s">
        <v>13</v>
      </c>
      <c r="E280" t="s">
        <v>20</v>
      </c>
      <c r="F280" t="s">
        <v>24</v>
      </c>
      <c r="G280" t="s">
        <v>60</v>
      </c>
      <c r="H280">
        <v>4</v>
      </c>
      <c r="I280">
        <v>2431.8000000000002</v>
      </c>
      <c r="J280">
        <v>9727.2000000000007</v>
      </c>
      <c r="K280" t="s">
        <v>39</v>
      </c>
      <c r="L280">
        <v>1</v>
      </c>
      <c r="M280" t="s">
        <v>321</v>
      </c>
    </row>
    <row r="281" spans="1:13">
      <c r="A281">
        <v>10280</v>
      </c>
      <c r="B281">
        <v>2879</v>
      </c>
      <c r="C281">
        <v>56</v>
      </c>
      <c r="D281" t="s">
        <v>19</v>
      </c>
      <c r="E281" t="s">
        <v>53</v>
      </c>
      <c r="F281" t="s">
        <v>38</v>
      </c>
      <c r="G281" t="s">
        <v>62</v>
      </c>
      <c r="H281">
        <v>5</v>
      </c>
      <c r="I281">
        <v>759.86</v>
      </c>
      <c r="J281">
        <v>3799.3</v>
      </c>
      <c r="K281" t="s">
        <v>26</v>
      </c>
      <c r="L281">
        <v>3</v>
      </c>
      <c r="M281" t="s">
        <v>322</v>
      </c>
    </row>
    <row r="282" spans="1:13">
      <c r="A282">
        <v>10281</v>
      </c>
      <c r="B282">
        <v>4186</v>
      </c>
      <c r="C282">
        <v>50</v>
      </c>
      <c r="D282" t="s">
        <v>13</v>
      </c>
      <c r="E282" t="s">
        <v>43</v>
      </c>
      <c r="F282" t="s">
        <v>24</v>
      </c>
      <c r="G282" t="s">
        <v>41</v>
      </c>
      <c r="H282">
        <v>2</v>
      </c>
      <c r="I282">
        <v>1797.77</v>
      </c>
      <c r="J282">
        <v>3595.54</v>
      </c>
      <c r="K282" t="s">
        <v>26</v>
      </c>
      <c r="L282">
        <v>1</v>
      </c>
      <c r="M282" t="s">
        <v>323</v>
      </c>
    </row>
    <row r="283" spans="1:13">
      <c r="A283">
        <v>10282</v>
      </c>
      <c r="B283">
        <v>4171</v>
      </c>
      <c r="C283">
        <v>54</v>
      </c>
      <c r="D283" t="s">
        <v>13</v>
      </c>
      <c r="E283" t="s">
        <v>53</v>
      </c>
      <c r="F283" t="s">
        <v>15</v>
      </c>
      <c r="G283" t="s">
        <v>60</v>
      </c>
      <c r="H283">
        <v>5</v>
      </c>
      <c r="I283">
        <v>866.97</v>
      </c>
      <c r="J283">
        <v>4334.8500000000004</v>
      </c>
      <c r="K283" t="s">
        <v>22</v>
      </c>
      <c r="L283">
        <v>4</v>
      </c>
      <c r="M283" t="s">
        <v>324</v>
      </c>
    </row>
    <row r="284" spans="1:13">
      <c r="A284">
        <v>10283</v>
      </c>
      <c r="B284">
        <v>2324</v>
      </c>
      <c r="C284">
        <v>52</v>
      </c>
      <c r="D284" t="s">
        <v>19</v>
      </c>
      <c r="E284" t="s">
        <v>55</v>
      </c>
      <c r="F284" t="s">
        <v>38</v>
      </c>
      <c r="G284" t="s">
        <v>41</v>
      </c>
      <c r="H284">
        <v>1</v>
      </c>
      <c r="I284">
        <v>3976.99</v>
      </c>
      <c r="J284">
        <v>3976.99</v>
      </c>
      <c r="K284" t="s">
        <v>39</v>
      </c>
      <c r="L284">
        <v>4</v>
      </c>
      <c r="M284" t="s">
        <v>325</v>
      </c>
    </row>
    <row r="285" spans="1:13">
      <c r="A285">
        <v>10284</v>
      </c>
      <c r="B285">
        <v>3431</v>
      </c>
      <c r="C285">
        <v>19</v>
      </c>
      <c r="D285" t="s">
        <v>13</v>
      </c>
      <c r="E285" t="s">
        <v>30</v>
      </c>
      <c r="F285" t="s">
        <v>50</v>
      </c>
      <c r="G285" t="s">
        <v>16</v>
      </c>
      <c r="H285">
        <v>1</v>
      </c>
      <c r="I285">
        <v>2860.95</v>
      </c>
      <c r="J285">
        <v>2860.95</v>
      </c>
      <c r="K285" t="s">
        <v>26</v>
      </c>
      <c r="L285">
        <v>2</v>
      </c>
      <c r="M285" t="s">
        <v>326</v>
      </c>
    </row>
    <row r="286" spans="1:13">
      <c r="A286">
        <v>10285</v>
      </c>
      <c r="B286">
        <v>4222</v>
      </c>
      <c r="C286">
        <v>50</v>
      </c>
      <c r="D286" t="s">
        <v>19</v>
      </c>
      <c r="E286" t="s">
        <v>20</v>
      </c>
      <c r="F286" t="s">
        <v>21</v>
      </c>
      <c r="G286" t="s">
        <v>44</v>
      </c>
      <c r="H286">
        <v>2</v>
      </c>
      <c r="I286">
        <v>1368.2</v>
      </c>
      <c r="J286">
        <v>2736.4</v>
      </c>
      <c r="K286" t="s">
        <v>39</v>
      </c>
      <c r="L286">
        <v>1</v>
      </c>
      <c r="M286" t="s">
        <v>327</v>
      </c>
    </row>
    <row r="287" spans="1:13">
      <c r="A287">
        <v>10286</v>
      </c>
      <c r="B287">
        <v>3155</v>
      </c>
      <c r="C287">
        <v>48</v>
      </c>
      <c r="D287" t="s">
        <v>19</v>
      </c>
      <c r="E287" t="s">
        <v>53</v>
      </c>
      <c r="F287" t="s">
        <v>24</v>
      </c>
      <c r="G287" t="s">
        <v>41</v>
      </c>
      <c r="H287">
        <v>5</v>
      </c>
      <c r="I287">
        <v>1353.75</v>
      </c>
      <c r="J287">
        <v>6768.75</v>
      </c>
      <c r="K287" t="s">
        <v>39</v>
      </c>
      <c r="L287">
        <v>4</v>
      </c>
      <c r="M287" t="s">
        <v>328</v>
      </c>
    </row>
    <row r="288" spans="1:13">
      <c r="A288">
        <v>10287</v>
      </c>
      <c r="B288">
        <v>4488</v>
      </c>
      <c r="C288">
        <v>55</v>
      </c>
      <c r="D288" t="s">
        <v>19</v>
      </c>
      <c r="E288" t="s">
        <v>36</v>
      </c>
      <c r="F288" t="s">
        <v>38</v>
      </c>
      <c r="G288" t="s">
        <v>60</v>
      </c>
      <c r="H288">
        <v>2</v>
      </c>
      <c r="I288">
        <v>1523.87</v>
      </c>
      <c r="J288">
        <v>3047.74</v>
      </c>
      <c r="K288" t="s">
        <v>22</v>
      </c>
      <c r="L288">
        <v>2</v>
      </c>
      <c r="M288" t="s">
        <v>329</v>
      </c>
    </row>
    <row r="289" spans="1:13">
      <c r="A289">
        <v>10288</v>
      </c>
      <c r="B289">
        <v>3880</v>
      </c>
      <c r="C289">
        <v>25</v>
      </c>
      <c r="D289" t="s">
        <v>19</v>
      </c>
      <c r="E289" t="s">
        <v>30</v>
      </c>
      <c r="F289" t="s">
        <v>24</v>
      </c>
      <c r="G289" t="s">
        <v>25</v>
      </c>
      <c r="H289">
        <v>2</v>
      </c>
      <c r="I289">
        <v>1751.7</v>
      </c>
      <c r="J289">
        <v>3503.4</v>
      </c>
      <c r="K289" t="s">
        <v>17</v>
      </c>
      <c r="L289">
        <v>3</v>
      </c>
      <c r="M289" t="s">
        <v>330</v>
      </c>
    </row>
    <row r="290" spans="1:13">
      <c r="A290">
        <v>10289</v>
      </c>
      <c r="B290">
        <v>2566</v>
      </c>
      <c r="C290">
        <v>50</v>
      </c>
      <c r="D290" t="s">
        <v>19</v>
      </c>
      <c r="E290" t="s">
        <v>20</v>
      </c>
      <c r="F290" t="s">
        <v>24</v>
      </c>
      <c r="G290" t="s">
        <v>56</v>
      </c>
      <c r="H290">
        <v>1</v>
      </c>
      <c r="I290">
        <v>2122.21</v>
      </c>
      <c r="J290">
        <v>2122.21</v>
      </c>
      <c r="K290" t="s">
        <v>39</v>
      </c>
      <c r="L290">
        <v>3</v>
      </c>
      <c r="M290" t="s">
        <v>331</v>
      </c>
    </row>
    <row r="291" spans="1:13">
      <c r="A291">
        <v>10290</v>
      </c>
      <c r="B291">
        <v>4631</v>
      </c>
      <c r="C291">
        <v>59</v>
      </c>
      <c r="D291" t="s">
        <v>13</v>
      </c>
      <c r="E291" t="s">
        <v>20</v>
      </c>
      <c r="F291" t="s">
        <v>24</v>
      </c>
      <c r="G291" t="s">
        <v>69</v>
      </c>
      <c r="H291">
        <v>4</v>
      </c>
      <c r="I291">
        <v>1698.48</v>
      </c>
      <c r="J291">
        <v>6793.92</v>
      </c>
      <c r="K291" t="s">
        <v>39</v>
      </c>
      <c r="L291">
        <v>3</v>
      </c>
      <c r="M291" t="s">
        <v>332</v>
      </c>
    </row>
    <row r="292" spans="1:13">
      <c r="A292">
        <v>10291</v>
      </c>
      <c r="B292">
        <v>4574</v>
      </c>
      <c r="C292">
        <v>23</v>
      </c>
      <c r="D292" t="s">
        <v>13</v>
      </c>
      <c r="E292" t="s">
        <v>36</v>
      </c>
      <c r="F292" t="s">
        <v>31</v>
      </c>
      <c r="G292" t="s">
        <v>28</v>
      </c>
      <c r="H292">
        <v>1</v>
      </c>
      <c r="I292">
        <v>3493.91</v>
      </c>
      <c r="J292">
        <v>3493.91</v>
      </c>
      <c r="K292" t="s">
        <v>17</v>
      </c>
      <c r="L292">
        <v>3</v>
      </c>
      <c r="M292" t="s">
        <v>333</v>
      </c>
    </row>
    <row r="293" spans="1:13">
      <c r="A293">
        <v>10292</v>
      </c>
      <c r="B293">
        <v>2717</v>
      </c>
      <c r="C293">
        <v>19</v>
      </c>
      <c r="D293" t="s">
        <v>13</v>
      </c>
      <c r="E293" t="s">
        <v>20</v>
      </c>
      <c r="F293" t="s">
        <v>21</v>
      </c>
      <c r="G293" t="s">
        <v>56</v>
      </c>
      <c r="H293">
        <v>2</v>
      </c>
      <c r="I293">
        <v>464.85</v>
      </c>
      <c r="J293">
        <v>929.7</v>
      </c>
      <c r="K293" t="s">
        <v>34</v>
      </c>
      <c r="L293">
        <v>2</v>
      </c>
      <c r="M293" t="s">
        <v>334</v>
      </c>
    </row>
    <row r="294" spans="1:13">
      <c r="A294">
        <v>10293</v>
      </c>
      <c r="B294">
        <v>2143</v>
      </c>
      <c r="C294">
        <v>51</v>
      </c>
      <c r="D294" t="s">
        <v>19</v>
      </c>
      <c r="E294" t="s">
        <v>36</v>
      </c>
      <c r="F294" t="s">
        <v>21</v>
      </c>
      <c r="G294" t="s">
        <v>56</v>
      </c>
      <c r="H294">
        <v>3</v>
      </c>
      <c r="I294">
        <v>1842.12</v>
      </c>
      <c r="J294">
        <v>5526.36</v>
      </c>
      <c r="K294" t="s">
        <v>39</v>
      </c>
      <c r="L294">
        <v>2</v>
      </c>
      <c r="M294" t="s">
        <v>335</v>
      </c>
    </row>
    <row r="295" spans="1:13">
      <c r="A295">
        <v>10294</v>
      </c>
      <c r="B295">
        <v>3845</v>
      </c>
      <c r="C295">
        <v>48</v>
      </c>
      <c r="D295" t="s">
        <v>13</v>
      </c>
      <c r="E295" t="s">
        <v>53</v>
      </c>
      <c r="F295" t="s">
        <v>38</v>
      </c>
      <c r="G295" t="s">
        <v>28</v>
      </c>
      <c r="H295">
        <v>5</v>
      </c>
      <c r="I295">
        <v>3802.87</v>
      </c>
      <c r="J295">
        <v>19014.349999999999</v>
      </c>
      <c r="K295" t="s">
        <v>34</v>
      </c>
      <c r="L295">
        <v>5</v>
      </c>
      <c r="M295" t="s">
        <v>336</v>
      </c>
    </row>
    <row r="296" spans="1:13">
      <c r="A296">
        <v>10295</v>
      </c>
      <c r="B296">
        <v>2505</v>
      </c>
      <c r="C296">
        <v>36</v>
      </c>
      <c r="D296" t="s">
        <v>19</v>
      </c>
      <c r="E296" t="s">
        <v>36</v>
      </c>
      <c r="F296" t="s">
        <v>31</v>
      </c>
      <c r="G296" t="s">
        <v>44</v>
      </c>
      <c r="H296">
        <v>1</v>
      </c>
      <c r="I296">
        <v>4731.2</v>
      </c>
      <c r="J296">
        <v>4731.2</v>
      </c>
      <c r="K296" t="s">
        <v>39</v>
      </c>
      <c r="L296">
        <v>1</v>
      </c>
      <c r="M296" t="s">
        <v>337</v>
      </c>
    </row>
    <row r="297" spans="1:13">
      <c r="A297">
        <v>10296</v>
      </c>
      <c r="B297">
        <v>2626</v>
      </c>
      <c r="C297">
        <v>35</v>
      </c>
      <c r="D297" t="s">
        <v>19</v>
      </c>
      <c r="E297" t="s">
        <v>14</v>
      </c>
      <c r="F297" t="s">
        <v>24</v>
      </c>
      <c r="G297" t="s">
        <v>60</v>
      </c>
      <c r="H297">
        <v>2</v>
      </c>
      <c r="I297">
        <v>4072.84</v>
      </c>
      <c r="J297">
        <v>8145.68</v>
      </c>
      <c r="K297" t="s">
        <v>22</v>
      </c>
      <c r="L297">
        <v>2</v>
      </c>
      <c r="M297" t="s">
        <v>338</v>
      </c>
    </row>
    <row r="298" spans="1:13">
      <c r="A298">
        <v>10297</v>
      </c>
      <c r="B298">
        <v>3774</v>
      </c>
      <c r="C298">
        <v>36</v>
      </c>
      <c r="D298" t="s">
        <v>13</v>
      </c>
      <c r="E298" t="s">
        <v>36</v>
      </c>
      <c r="F298" t="s">
        <v>24</v>
      </c>
      <c r="G298" t="s">
        <v>41</v>
      </c>
      <c r="H298">
        <v>5</v>
      </c>
      <c r="I298">
        <v>1431.88</v>
      </c>
      <c r="J298">
        <v>7159.4</v>
      </c>
      <c r="K298" t="s">
        <v>26</v>
      </c>
      <c r="L298">
        <v>5</v>
      </c>
      <c r="M298" t="s">
        <v>339</v>
      </c>
    </row>
    <row r="299" spans="1:13">
      <c r="A299">
        <v>10298</v>
      </c>
      <c r="B299">
        <v>3949</v>
      </c>
      <c r="C299">
        <v>49</v>
      </c>
      <c r="D299" t="s">
        <v>19</v>
      </c>
      <c r="E299" t="s">
        <v>20</v>
      </c>
      <c r="F299" t="s">
        <v>21</v>
      </c>
      <c r="G299" t="s">
        <v>56</v>
      </c>
      <c r="H299">
        <v>4</v>
      </c>
      <c r="I299">
        <v>1394.7</v>
      </c>
      <c r="J299">
        <v>5578.8</v>
      </c>
      <c r="K299" t="s">
        <v>34</v>
      </c>
      <c r="L299">
        <v>5</v>
      </c>
      <c r="M299" t="s">
        <v>340</v>
      </c>
    </row>
    <row r="300" spans="1:13">
      <c r="A300">
        <v>10299</v>
      </c>
      <c r="B300">
        <v>3580</v>
      </c>
      <c r="C300">
        <v>25</v>
      </c>
      <c r="D300" t="s">
        <v>13</v>
      </c>
      <c r="E300" t="s">
        <v>20</v>
      </c>
      <c r="F300" t="s">
        <v>38</v>
      </c>
      <c r="G300" t="s">
        <v>25</v>
      </c>
      <c r="H300">
        <v>4</v>
      </c>
      <c r="I300">
        <v>1194.58</v>
      </c>
      <c r="J300">
        <v>4778.32</v>
      </c>
      <c r="K300" t="s">
        <v>22</v>
      </c>
      <c r="L300">
        <v>2</v>
      </c>
      <c r="M300" t="s">
        <v>341</v>
      </c>
    </row>
    <row r="301" spans="1:13">
      <c r="A301">
        <v>10300</v>
      </c>
      <c r="B301">
        <v>2150</v>
      </c>
      <c r="C301">
        <v>39</v>
      </c>
      <c r="D301" t="s">
        <v>13</v>
      </c>
      <c r="E301" t="s">
        <v>20</v>
      </c>
      <c r="F301" t="s">
        <v>21</v>
      </c>
      <c r="G301" t="s">
        <v>60</v>
      </c>
      <c r="H301">
        <v>1</v>
      </c>
      <c r="I301">
        <v>4447.74</v>
      </c>
      <c r="J301">
        <v>4447.74</v>
      </c>
      <c r="K301" t="s">
        <v>39</v>
      </c>
      <c r="L301">
        <v>2</v>
      </c>
      <c r="M301" t="s">
        <v>342</v>
      </c>
    </row>
    <row r="302" spans="1:13">
      <c r="A302">
        <v>10301</v>
      </c>
      <c r="B302">
        <v>4523</v>
      </c>
      <c r="C302">
        <v>36</v>
      </c>
      <c r="D302" t="s">
        <v>13</v>
      </c>
      <c r="E302" t="s">
        <v>36</v>
      </c>
      <c r="F302" t="s">
        <v>15</v>
      </c>
      <c r="G302" t="s">
        <v>62</v>
      </c>
      <c r="H302">
        <v>1</v>
      </c>
      <c r="I302">
        <v>1417.92</v>
      </c>
      <c r="J302">
        <v>1417.92</v>
      </c>
      <c r="K302" t="s">
        <v>34</v>
      </c>
      <c r="L302">
        <v>3</v>
      </c>
      <c r="M302" t="s">
        <v>343</v>
      </c>
    </row>
    <row r="303" spans="1:13">
      <c r="A303">
        <v>10302</v>
      </c>
      <c r="B303">
        <v>4486</v>
      </c>
      <c r="C303">
        <v>45</v>
      </c>
      <c r="D303" t="s">
        <v>19</v>
      </c>
      <c r="E303" t="s">
        <v>55</v>
      </c>
      <c r="F303" t="s">
        <v>24</v>
      </c>
      <c r="G303" t="s">
        <v>41</v>
      </c>
      <c r="H303">
        <v>1</v>
      </c>
      <c r="I303">
        <v>3863.45</v>
      </c>
      <c r="J303">
        <v>3863.45</v>
      </c>
      <c r="K303" t="s">
        <v>39</v>
      </c>
      <c r="L303">
        <v>2</v>
      </c>
      <c r="M303" t="s">
        <v>344</v>
      </c>
    </row>
    <row r="304" spans="1:13">
      <c r="A304">
        <v>10303</v>
      </c>
      <c r="B304">
        <v>2524</v>
      </c>
      <c r="C304">
        <v>27</v>
      </c>
      <c r="D304" t="s">
        <v>13</v>
      </c>
      <c r="E304" t="s">
        <v>14</v>
      </c>
      <c r="F304" t="s">
        <v>15</v>
      </c>
      <c r="G304" t="s">
        <v>62</v>
      </c>
      <c r="H304">
        <v>3</v>
      </c>
      <c r="I304">
        <v>1526.93</v>
      </c>
      <c r="J304">
        <v>4580.79</v>
      </c>
      <c r="K304" t="s">
        <v>26</v>
      </c>
      <c r="L304">
        <v>1</v>
      </c>
      <c r="M304" t="s">
        <v>345</v>
      </c>
    </row>
    <row r="305" spans="1:13">
      <c r="A305">
        <v>10304</v>
      </c>
      <c r="B305">
        <v>2376</v>
      </c>
      <c r="C305">
        <v>22</v>
      </c>
      <c r="D305" t="s">
        <v>13</v>
      </c>
      <c r="E305" t="s">
        <v>55</v>
      </c>
      <c r="F305" t="s">
        <v>50</v>
      </c>
      <c r="G305" t="s">
        <v>25</v>
      </c>
      <c r="H305">
        <v>3</v>
      </c>
      <c r="I305">
        <v>455.48</v>
      </c>
      <c r="J305">
        <v>1366.44</v>
      </c>
      <c r="K305" t="s">
        <v>22</v>
      </c>
      <c r="L305">
        <v>3</v>
      </c>
      <c r="M305" t="s">
        <v>346</v>
      </c>
    </row>
    <row r="306" spans="1:13">
      <c r="A306">
        <v>10305</v>
      </c>
      <c r="B306">
        <v>3996</v>
      </c>
      <c r="C306">
        <v>31</v>
      </c>
      <c r="D306" t="s">
        <v>13</v>
      </c>
      <c r="E306" t="s">
        <v>20</v>
      </c>
      <c r="F306" t="s">
        <v>24</v>
      </c>
      <c r="G306" t="s">
        <v>28</v>
      </c>
      <c r="H306">
        <v>2</v>
      </c>
      <c r="I306">
        <v>3747.2</v>
      </c>
      <c r="J306">
        <v>7494.4</v>
      </c>
      <c r="K306" t="s">
        <v>39</v>
      </c>
      <c r="L306">
        <v>2</v>
      </c>
      <c r="M306" t="s">
        <v>347</v>
      </c>
    </row>
    <row r="307" spans="1:13">
      <c r="A307">
        <v>10306</v>
      </c>
      <c r="B307">
        <v>2727</v>
      </c>
      <c r="C307">
        <v>41</v>
      </c>
      <c r="D307" t="s">
        <v>19</v>
      </c>
      <c r="E307" t="s">
        <v>55</v>
      </c>
      <c r="F307" t="s">
        <v>31</v>
      </c>
      <c r="G307" t="s">
        <v>56</v>
      </c>
      <c r="H307">
        <v>4</v>
      </c>
      <c r="I307">
        <v>3713.15</v>
      </c>
      <c r="J307">
        <v>14852.6</v>
      </c>
      <c r="K307" t="s">
        <v>34</v>
      </c>
      <c r="L307">
        <v>5</v>
      </c>
      <c r="M307" t="s">
        <v>348</v>
      </c>
    </row>
    <row r="308" spans="1:13">
      <c r="A308">
        <v>10307</v>
      </c>
      <c r="B308">
        <v>2423</v>
      </c>
      <c r="C308">
        <v>49</v>
      </c>
      <c r="D308" t="s">
        <v>19</v>
      </c>
      <c r="E308" t="s">
        <v>30</v>
      </c>
      <c r="F308" t="s">
        <v>24</v>
      </c>
      <c r="G308" t="s">
        <v>28</v>
      </c>
      <c r="H308">
        <v>3</v>
      </c>
      <c r="I308">
        <v>718.11</v>
      </c>
      <c r="J308">
        <v>2154.33</v>
      </c>
      <c r="K308" t="s">
        <v>22</v>
      </c>
      <c r="L308">
        <v>2</v>
      </c>
      <c r="M308" t="s">
        <v>349</v>
      </c>
    </row>
    <row r="309" spans="1:13">
      <c r="A309">
        <v>10308</v>
      </c>
      <c r="B309">
        <v>2637</v>
      </c>
      <c r="C309">
        <v>55</v>
      </c>
      <c r="D309" t="s">
        <v>19</v>
      </c>
      <c r="E309" t="s">
        <v>30</v>
      </c>
      <c r="F309" t="s">
        <v>21</v>
      </c>
      <c r="G309" t="s">
        <v>16</v>
      </c>
      <c r="H309">
        <v>4</v>
      </c>
      <c r="I309">
        <v>1835.5</v>
      </c>
      <c r="J309">
        <v>7342</v>
      </c>
      <c r="K309" t="s">
        <v>26</v>
      </c>
      <c r="L309">
        <v>1</v>
      </c>
      <c r="M309" t="s">
        <v>350</v>
      </c>
    </row>
    <row r="310" spans="1:13">
      <c r="A310">
        <v>10309</v>
      </c>
      <c r="B310">
        <v>3484</v>
      </c>
      <c r="C310">
        <v>18</v>
      </c>
      <c r="D310" t="s">
        <v>19</v>
      </c>
      <c r="E310" t="s">
        <v>53</v>
      </c>
      <c r="F310" t="s">
        <v>50</v>
      </c>
      <c r="G310" t="s">
        <v>16</v>
      </c>
      <c r="H310">
        <v>4</v>
      </c>
      <c r="I310">
        <v>4757.32</v>
      </c>
      <c r="J310">
        <v>19029.28</v>
      </c>
      <c r="K310" t="s">
        <v>17</v>
      </c>
      <c r="L310">
        <v>4</v>
      </c>
      <c r="M310" t="s">
        <v>351</v>
      </c>
    </row>
    <row r="311" spans="1:13">
      <c r="A311">
        <v>10310</v>
      </c>
      <c r="B311">
        <v>2882</v>
      </c>
      <c r="C311">
        <v>36</v>
      </c>
      <c r="D311" t="s">
        <v>13</v>
      </c>
      <c r="E311" t="s">
        <v>53</v>
      </c>
      <c r="F311" t="s">
        <v>38</v>
      </c>
      <c r="G311" t="s">
        <v>25</v>
      </c>
      <c r="H311">
        <v>3</v>
      </c>
      <c r="I311">
        <v>1065.8599999999999</v>
      </c>
      <c r="J311">
        <v>3197.58</v>
      </c>
      <c r="K311" t="s">
        <v>17</v>
      </c>
      <c r="L311">
        <v>2</v>
      </c>
      <c r="M311" t="s">
        <v>352</v>
      </c>
    </row>
    <row r="312" spans="1:13">
      <c r="A312">
        <v>10311</v>
      </c>
      <c r="B312">
        <v>2806</v>
      </c>
      <c r="C312">
        <v>49</v>
      </c>
      <c r="D312" t="s">
        <v>13</v>
      </c>
      <c r="E312" t="s">
        <v>36</v>
      </c>
      <c r="F312" t="s">
        <v>24</v>
      </c>
      <c r="G312" t="s">
        <v>28</v>
      </c>
      <c r="H312">
        <v>5</v>
      </c>
      <c r="I312">
        <v>707.36</v>
      </c>
      <c r="J312">
        <v>3536.8</v>
      </c>
      <c r="K312" t="s">
        <v>22</v>
      </c>
      <c r="L312">
        <v>4</v>
      </c>
      <c r="M312" t="s">
        <v>353</v>
      </c>
    </row>
    <row r="313" spans="1:13">
      <c r="A313">
        <v>10312</v>
      </c>
      <c r="B313">
        <v>3627</v>
      </c>
      <c r="C313">
        <v>19</v>
      </c>
      <c r="D313" t="s">
        <v>13</v>
      </c>
      <c r="E313" t="s">
        <v>30</v>
      </c>
      <c r="F313" t="s">
        <v>38</v>
      </c>
      <c r="G313" t="s">
        <v>60</v>
      </c>
      <c r="H313">
        <v>3</v>
      </c>
      <c r="I313">
        <v>3094.64</v>
      </c>
      <c r="J313">
        <v>9283.92</v>
      </c>
      <c r="K313" t="s">
        <v>17</v>
      </c>
      <c r="L313">
        <v>2</v>
      </c>
      <c r="M313" t="s">
        <v>354</v>
      </c>
    </row>
    <row r="314" spans="1:13">
      <c r="A314">
        <v>10313</v>
      </c>
      <c r="B314">
        <v>2624</v>
      </c>
      <c r="C314">
        <v>38</v>
      </c>
      <c r="D314" t="s">
        <v>19</v>
      </c>
      <c r="E314" t="s">
        <v>55</v>
      </c>
      <c r="F314" t="s">
        <v>24</v>
      </c>
      <c r="G314" t="s">
        <v>16</v>
      </c>
      <c r="H314">
        <v>3</v>
      </c>
      <c r="I314">
        <v>4675.6499999999996</v>
      </c>
      <c r="J314">
        <v>14026.95</v>
      </c>
      <c r="K314" t="s">
        <v>26</v>
      </c>
      <c r="L314">
        <v>1</v>
      </c>
      <c r="M314" t="s">
        <v>355</v>
      </c>
    </row>
    <row r="315" spans="1:13">
      <c r="A315">
        <v>10314</v>
      </c>
      <c r="B315">
        <v>2837</v>
      </c>
      <c r="C315">
        <v>32</v>
      </c>
      <c r="D315" t="s">
        <v>13</v>
      </c>
      <c r="E315" t="s">
        <v>30</v>
      </c>
      <c r="F315" t="s">
        <v>24</v>
      </c>
      <c r="G315" t="s">
        <v>16</v>
      </c>
      <c r="H315">
        <v>5</v>
      </c>
      <c r="I315">
        <v>928.76</v>
      </c>
      <c r="J315">
        <v>4643.8</v>
      </c>
      <c r="K315" t="s">
        <v>39</v>
      </c>
      <c r="L315">
        <v>4</v>
      </c>
      <c r="M315" t="s">
        <v>356</v>
      </c>
    </row>
    <row r="316" spans="1:13">
      <c r="A316">
        <v>10315</v>
      </c>
      <c r="B316">
        <v>3762</v>
      </c>
      <c r="C316">
        <v>59</v>
      </c>
      <c r="D316" t="s">
        <v>13</v>
      </c>
      <c r="E316" t="s">
        <v>36</v>
      </c>
      <c r="F316" t="s">
        <v>24</v>
      </c>
      <c r="G316" t="s">
        <v>28</v>
      </c>
      <c r="H316">
        <v>5</v>
      </c>
      <c r="I316">
        <v>2711.16</v>
      </c>
      <c r="J316">
        <v>13555.8</v>
      </c>
      <c r="K316" t="s">
        <v>26</v>
      </c>
      <c r="L316">
        <v>4</v>
      </c>
      <c r="M316" t="s">
        <v>357</v>
      </c>
    </row>
    <row r="317" spans="1:13">
      <c r="A317">
        <v>10316</v>
      </c>
      <c r="B317">
        <v>4465</v>
      </c>
      <c r="C317">
        <v>22</v>
      </c>
      <c r="D317" t="s">
        <v>13</v>
      </c>
      <c r="E317" t="s">
        <v>55</v>
      </c>
      <c r="F317" t="s">
        <v>38</v>
      </c>
      <c r="G317" t="s">
        <v>41</v>
      </c>
      <c r="H317">
        <v>2</v>
      </c>
      <c r="I317">
        <v>3514.8</v>
      </c>
      <c r="J317">
        <v>7029.6</v>
      </c>
      <c r="K317" t="s">
        <v>17</v>
      </c>
      <c r="L317">
        <v>2</v>
      </c>
      <c r="M317" t="s">
        <v>358</v>
      </c>
    </row>
    <row r="318" spans="1:13">
      <c r="A318">
        <v>10317</v>
      </c>
      <c r="B318">
        <v>4219</v>
      </c>
      <c r="C318">
        <v>43</v>
      </c>
      <c r="D318" t="s">
        <v>13</v>
      </c>
      <c r="E318" t="s">
        <v>43</v>
      </c>
      <c r="F318" t="s">
        <v>15</v>
      </c>
      <c r="G318" t="s">
        <v>62</v>
      </c>
      <c r="H318">
        <v>5</v>
      </c>
      <c r="I318">
        <v>1107.5999999999999</v>
      </c>
      <c r="J318">
        <v>5538</v>
      </c>
      <c r="K318" t="s">
        <v>39</v>
      </c>
      <c r="L318">
        <v>5</v>
      </c>
      <c r="M318" t="s">
        <v>359</v>
      </c>
    </row>
    <row r="319" spans="1:13">
      <c r="A319">
        <v>10318</v>
      </c>
      <c r="B319">
        <v>3434</v>
      </c>
      <c r="C319">
        <v>37</v>
      </c>
      <c r="D319" t="s">
        <v>19</v>
      </c>
      <c r="E319" t="s">
        <v>30</v>
      </c>
      <c r="F319" t="s">
        <v>21</v>
      </c>
      <c r="G319" t="s">
        <v>62</v>
      </c>
      <c r="H319">
        <v>5</v>
      </c>
      <c r="I319">
        <v>352.92</v>
      </c>
      <c r="J319">
        <v>1764.6</v>
      </c>
      <c r="K319" t="s">
        <v>39</v>
      </c>
      <c r="L319">
        <v>5</v>
      </c>
      <c r="M319" t="s">
        <v>360</v>
      </c>
    </row>
    <row r="320" spans="1:13">
      <c r="A320">
        <v>10319</v>
      </c>
      <c r="B320">
        <v>2696</v>
      </c>
      <c r="C320">
        <v>45</v>
      </c>
      <c r="D320" t="s">
        <v>19</v>
      </c>
      <c r="E320" t="s">
        <v>30</v>
      </c>
      <c r="F320" t="s">
        <v>31</v>
      </c>
      <c r="G320" t="s">
        <v>69</v>
      </c>
      <c r="H320">
        <v>3</v>
      </c>
      <c r="I320">
        <v>4472.1099999999997</v>
      </c>
      <c r="J320">
        <v>13416.33</v>
      </c>
      <c r="K320" t="s">
        <v>17</v>
      </c>
      <c r="L320">
        <v>4</v>
      </c>
      <c r="M320" t="s">
        <v>361</v>
      </c>
    </row>
    <row r="321" spans="1:13">
      <c r="A321">
        <v>10320</v>
      </c>
      <c r="B321">
        <v>3332</v>
      </c>
      <c r="C321">
        <v>46</v>
      </c>
      <c r="D321" t="s">
        <v>19</v>
      </c>
      <c r="E321" t="s">
        <v>20</v>
      </c>
      <c r="F321" t="s">
        <v>15</v>
      </c>
      <c r="G321" t="s">
        <v>60</v>
      </c>
      <c r="H321">
        <v>5</v>
      </c>
      <c r="I321">
        <v>465.59</v>
      </c>
      <c r="J321">
        <v>2327.9499999999998</v>
      </c>
      <c r="K321" t="s">
        <v>22</v>
      </c>
      <c r="L321">
        <v>2</v>
      </c>
      <c r="M321" t="s">
        <v>362</v>
      </c>
    </row>
    <row r="322" spans="1:13">
      <c r="A322">
        <v>10321</v>
      </c>
      <c r="B322">
        <v>2601</v>
      </c>
      <c r="C322">
        <v>26</v>
      </c>
      <c r="D322" t="s">
        <v>19</v>
      </c>
      <c r="E322" t="s">
        <v>53</v>
      </c>
      <c r="F322" t="s">
        <v>21</v>
      </c>
      <c r="G322" t="s">
        <v>25</v>
      </c>
      <c r="H322">
        <v>1</v>
      </c>
      <c r="I322">
        <v>1510.05</v>
      </c>
      <c r="J322">
        <v>1510.05</v>
      </c>
      <c r="K322" t="s">
        <v>39</v>
      </c>
      <c r="L322">
        <v>5</v>
      </c>
      <c r="M322" t="s">
        <v>363</v>
      </c>
    </row>
    <row r="323" spans="1:13">
      <c r="A323">
        <v>10322</v>
      </c>
      <c r="B323">
        <v>2539</v>
      </c>
      <c r="C323">
        <v>30</v>
      </c>
      <c r="D323" t="s">
        <v>13</v>
      </c>
      <c r="E323" t="s">
        <v>14</v>
      </c>
      <c r="F323" t="s">
        <v>15</v>
      </c>
      <c r="G323" t="s">
        <v>16</v>
      </c>
      <c r="H323">
        <v>3</v>
      </c>
      <c r="I323">
        <v>3362.91</v>
      </c>
      <c r="J323">
        <v>10088.73</v>
      </c>
      <c r="K323" t="s">
        <v>26</v>
      </c>
      <c r="L323">
        <v>5</v>
      </c>
      <c r="M323" t="s">
        <v>364</v>
      </c>
    </row>
    <row r="324" spans="1:13">
      <c r="A324">
        <v>10323</v>
      </c>
      <c r="B324">
        <v>4091</v>
      </c>
      <c r="C324">
        <v>29</v>
      </c>
      <c r="D324" t="s">
        <v>19</v>
      </c>
      <c r="E324" t="s">
        <v>30</v>
      </c>
      <c r="F324" t="s">
        <v>31</v>
      </c>
      <c r="G324" t="s">
        <v>16</v>
      </c>
      <c r="H324">
        <v>4</v>
      </c>
      <c r="I324">
        <v>1643.18</v>
      </c>
      <c r="J324">
        <v>6572.72</v>
      </c>
      <c r="K324" t="s">
        <v>17</v>
      </c>
      <c r="L324">
        <v>1</v>
      </c>
      <c r="M324" t="s">
        <v>365</v>
      </c>
    </row>
    <row r="325" spans="1:13">
      <c r="A325">
        <v>10324</v>
      </c>
      <c r="B325">
        <v>3025</v>
      </c>
      <c r="C325">
        <v>26</v>
      </c>
      <c r="D325" t="s">
        <v>13</v>
      </c>
      <c r="E325" t="s">
        <v>43</v>
      </c>
      <c r="F325" t="s">
        <v>21</v>
      </c>
      <c r="G325" t="s">
        <v>62</v>
      </c>
      <c r="H325">
        <v>4</v>
      </c>
      <c r="I325">
        <v>345.63</v>
      </c>
      <c r="J325">
        <v>1382.52</v>
      </c>
      <c r="K325" t="s">
        <v>39</v>
      </c>
      <c r="L325">
        <v>3</v>
      </c>
      <c r="M325" t="s">
        <v>366</v>
      </c>
    </row>
    <row r="326" spans="1:13">
      <c r="A326">
        <v>10325</v>
      </c>
      <c r="B326">
        <v>4386</v>
      </c>
      <c r="C326">
        <v>28</v>
      </c>
      <c r="D326" t="s">
        <v>19</v>
      </c>
      <c r="E326" t="s">
        <v>14</v>
      </c>
      <c r="F326" t="s">
        <v>24</v>
      </c>
      <c r="G326" t="s">
        <v>32</v>
      </c>
      <c r="H326">
        <v>2</v>
      </c>
      <c r="I326">
        <v>3004.62</v>
      </c>
      <c r="J326">
        <v>6009.24</v>
      </c>
      <c r="K326" t="s">
        <v>17</v>
      </c>
      <c r="L326">
        <v>5</v>
      </c>
      <c r="M326" t="s">
        <v>367</v>
      </c>
    </row>
    <row r="327" spans="1:13">
      <c r="A327">
        <v>10326</v>
      </c>
      <c r="B327">
        <v>2606</v>
      </c>
      <c r="C327">
        <v>41</v>
      </c>
      <c r="D327" t="s">
        <v>13</v>
      </c>
      <c r="E327" t="s">
        <v>20</v>
      </c>
      <c r="F327" t="s">
        <v>31</v>
      </c>
      <c r="G327" t="s">
        <v>25</v>
      </c>
      <c r="H327">
        <v>1</v>
      </c>
      <c r="I327">
        <v>1746.62</v>
      </c>
      <c r="J327">
        <v>1746.62</v>
      </c>
      <c r="K327" t="s">
        <v>17</v>
      </c>
      <c r="L327">
        <v>1</v>
      </c>
      <c r="M327" t="s">
        <v>368</v>
      </c>
    </row>
    <row r="328" spans="1:13">
      <c r="A328">
        <v>10327</v>
      </c>
      <c r="B328">
        <v>2410</v>
      </c>
      <c r="C328">
        <v>42</v>
      </c>
      <c r="D328" t="s">
        <v>19</v>
      </c>
      <c r="E328" t="s">
        <v>55</v>
      </c>
      <c r="F328" t="s">
        <v>15</v>
      </c>
      <c r="G328" t="s">
        <v>16</v>
      </c>
      <c r="H328">
        <v>2</v>
      </c>
      <c r="I328">
        <v>1012.12</v>
      </c>
      <c r="J328">
        <v>2024.24</v>
      </c>
      <c r="K328" t="s">
        <v>39</v>
      </c>
      <c r="L328">
        <v>1</v>
      </c>
      <c r="M328" t="s">
        <v>369</v>
      </c>
    </row>
    <row r="329" spans="1:13">
      <c r="A329">
        <v>10328</v>
      </c>
      <c r="B329">
        <v>2542</v>
      </c>
      <c r="C329">
        <v>43</v>
      </c>
      <c r="D329" t="s">
        <v>13</v>
      </c>
      <c r="E329" t="s">
        <v>43</v>
      </c>
      <c r="F329" t="s">
        <v>21</v>
      </c>
      <c r="G329" t="s">
        <v>32</v>
      </c>
      <c r="H329">
        <v>5</v>
      </c>
      <c r="I329">
        <v>4865.03</v>
      </c>
      <c r="J329">
        <v>24325.15</v>
      </c>
      <c r="K329" t="s">
        <v>22</v>
      </c>
      <c r="L329">
        <v>2</v>
      </c>
      <c r="M329" t="s">
        <v>370</v>
      </c>
    </row>
    <row r="330" spans="1:13">
      <c r="A330">
        <v>10329</v>
      </c>
      <c r="B330">
        <v>4919</v>
      </c>
      <c r="C330">
        <v>36</v>
      </c>
      <c r="D330" t="s">
        <v>13</v>
      </c>
      <c r="E330" t="s">
        <v>20</v>
      </c>
      <c r="F330" t="s">
        <v>21</v>
      </c>
      <c r="G330" t="s">
        <v>28</v>
      </c>
      <c r="H330">
        <v>2</v>
      </c>
      <c r="I330">
        <v>1075.3699999999999</v>
      </c>
      <c r="J330">
        <v>2150.7399999999998</v>
      </c>
      <c r="K330" t="s">
        <v>17</v>
      </c>
      <c r="L330">
        <v>4</v>
      </c>
      <c r="M330" t="s">
        <v>371</v>
      </c>
    </row>
    <row r="331" spans="1:13">
      <c r="A331">
        <v>10330</v>
      </c>
      <c r="B331">
        <v>3088</v>
      </c>
      <c r="C331">
        <v>36</v>
      </c>
      <c r="D331" t="s">
        <v>13</v>
      </c>
      <c r="E331" t="s">
        <v>36</v>
      </c>
      <c r="F331" t="s">
        <v>24</v>
      </c>
      <c r="G331" t="s">
        <v>44</v>
      </c>
      <c r="H331">
        <v>2</v>
      </c>
      <c r="I331">
        <v>3718.01</v>
      </c>
      <c r="J331">
        <v>7436.02</v>
      </c>
      <c r="K331" t="s">
        <v>34</v>
      </c>
      <c r="L331">
        <v>2</v>
      </c>
      <c r="M331" t="s">
        <v>372</v>
      </c>
    </row>
    <row r="332" spans="1:13">
      <c r="A332">
        <v>10331</v>
      </c>
      <c r="B332">
        <v>3174</v>
      </c>
      <c r="C332">
        <v>23</v>
      </c>
      <c r="D332" t="s">
        <v>19</v>
      </c>
      <c r="E332" t="s">
        <v>30</v>
      </c>
      <c r="F332" t="s">
        <v>24</v>
      </c>
      <c r="G332" t="s">
        <v>28</v>
      </c>
      <c r="H332">
        <v>3</v>
      </c>
      <c r="I332">
        <v>4486.3999999999996</v>
      </c>
      <c r="J332">
        <v>13459.2</v>
      </c>
      <c r="K332" t="s">
        <v>26</v>
      </c>
      <c r="L332">
        <v>2</v>
      </c>
      <c r="M332" t="s">
        <v>373</v>
      </c>
    </row>
    <row r="333" spans="1:13">
      <c r="A333">
        <v>10332</v>
      </c>
      <c r="B333">
        <v>4658</v>
      </c>
      <c r="C333">
        <v>39</v>
      </c>
      <c r="D333" t="s">
        <v>19</v>
      </c>
      <c r="E333" t="s">
        <v>53</v>
      </c>
      <c r="F333" t="s">
        <v>24</v>
      </c>
      <c r="G333" t="s">
        <v>28</v>
      </c>
      <c r="H333">
        <v>3</v>
      </c>
      <c r="I333">
        <v>4335.96</v>
      </c>
      <c r="J333">
        <v>13007.88</v>
      </c>
      <c r="K333" t="s">
        <v>34</v>
      </c>
      <c r="L333">
        <v>2</v>
      </c>
      <c r="M333" t="s">
        <v>374</v>
      </c>
    </row>
    <row r="334" spans="1:13">
      <c r="A334">
        <v>10333</v>
      </c>
      <c r="B334">
        <v>3667</v>
      </c>
      <c r="C334">
        <v>27</v>
      </c>
      <c r="D334" t="s">
        <v>19</v>
      </c>
      <c r="E334" t="s">
        <v>20</v>
      </c>
      <c r="F334" t="s">
        <v>31</v>
      </c>
      <c r="G334" t="s">
        <v>60</v>
      </c>
      <c r="H334">
        <v>1</v>
      </c>
      <c r="I334">
        <v>1166.01</v>
      </c>
      <c r="J334">
        <v>1166.01</v>
      </c>
      <c r="K334" t="s">
        <v>39</v>
      </c>
      <c r="L334">
        <v>5</v>
      </c>
      <c r="M334" t="s">
        <v>375</v>
      </c>
    </row>
    <row r="335" spans="1:13">
      <c r="A335">
        <v>10334</v>
      </c>
      <c r="B335">
        <v>2070</v>
      </c>
      <c r="C335">
        <v>31</v>
      </c>
      <c r="D335" t="s">
        <v>19</v>
      </c>
      <c r="E335" t="s">
        <v>43</v>
      </c>
      <c r="F335" t="s">
        <v>15</v>
      </c>
      <c r="G335" t="s">
        <v>32</v>
      </c>
      <c r="H335">
        <v>3</v>
      </c>
      <c r="I335">
        <v>1413</v>
      </c>
      <c r="J335">
        <v>4239</v>
      </c>
      <c r="K335" t="s">
        <v>39</v>
      </c>
      <c r="L335">
        <v>5</v>
      </c>
      <c r="M335" t="s">
        <v>376</v>
      </c>
    </row>
    <row r="336" spans="1:13">
      <c r="A336">
        <v>10335</v>
      </c>
      <c r="B336">
        <v>2652</v>
      </c>
      <c r="C336">
        <v>36</v>
      </c>
      <c r="D336" t="s">
        <v>19</v>
      </c>
      <c r="E336" t="s">
        <v>14</v>
      </c>
      <c r="F336" t="s">
        <v>50</v>
      </c>
      <c r="G336" t="s">
        <v>56</v>
      </c>
      <c r="H336">
        <v>5</v>
      </c>
      <c r="I336">
        <v>386.3</v>
      </c>
      <c r="J336">
        <v>1931.5</v>
      </c>
      <c r="K336" t="s">
        <v>39</v>
      </c>
      <c r="L336">
        <v>4</v>
      </c>
      <c r="M336" t="s">
        <v>377</v>
      </c>
    </row>
    <row r="337" spans="1:13">
      <c r="A337">
        <v>10336</v>
      </c>
      <c r="B337">
        <v>4278</v>
      </c>
      <c r="C337">
        <v>41</v>
      </c>
      <c r="D337" t="s">
        <v>13</v>
      </c>
      <c r="E337" t="s">
        <v>53</v>
      </c>
      <c r="F337" t="s">
        <v>24</v>
      </c>
      <c r="G337" t="s">
        <v>32</v>
      </c>
      <c r="H337">
        <v>3</v>
      </c>
      <c r="I337">
        <v>4677.6099999999997</v>
      </c>
      <c r="J337">
        <v>14032.83</v>
      </c>
      <c r="K337" t="s">
        <v>22</v>
      </c>
      <c r="L337">
        <v>5</v>
      </c>
      <c r="M337" t="s">
        <v>378</v>
      </c>
    </row>
    <row r="338" spans="1:13">
      <c r="A338">
        <v>10337</v>
      </c>
      <c r="B338">
        <v>3107</v>
      </c>
      <c r="C338">
        <v>49</v>
      </c>
      <c r="D338" t="s">
        <v>19</v>
      </c>
      <c r="E338" t="s">
        <v>20</v>
      </c>
      <c r="F338" t="s">
        <v>15</v>
      </c>
      <c r="G338" t="s">
        <v>62</v>
      </c>
      <c r="H338">
        <v>3</v>
      </c>
      <c r="I338">
        <v>4469.47</v>
      </c>
      <c r="J338">
        <v>13408.41</v>
      </c>
      <c r="K338" t="s">
        <v>22</v>
      </c>
      <c r="L338">
        <v>1</v>
      </c>
      <c r="M338" t="s">
        <v>379</v>
      </c>
    </row>
    <row r="339" spans="1:13">
      <c r="A339">
        <v>10338</v>
      </c>
      <c r="B339">
        <v>3200</v>
      </c>
      <c r="C339">
        <v>51</v>
      </c>
      <c r="D339" t="s">
        <v>19</v>
      </c>
      <c r="E339" t="s">
        <v>53</v>
      </c>
      <c r="F339" t="s">
        <v>31</v>
      </c>
      <c r="G339" t="s">
        <v>16</v>
      </c>
      <c r="H339">
        <v>3</v>
      </c>
      <c r="I339">
        <v>3098.69</v>
      </c>
      <c r="J339">
        <v>9296.07</v>
      </c>
      <c r="K339" t="s">
        <v>39</v>
      </c>
      <c r="L339">
        <v>5</v>
      </c>
      <c r="M339" t="s">
        <v>380</v>
      </c>
    </row>
    <row r="340" spans="1:13">
      <c r="A340">
        <v>10339</v>
      </c>
      <c r="B340">
        <v>2317</v>
      </c>
      <c r="C340">
        <v>32</v>
      </c>
      <c r="D340" t="s">
        <v>19</v>
      </c>
      <c r="E340" t="s">
        <v>55</v>
      </c>
      <c r="F340" t="s">
        <v>24</v>
      </c>
      <c r="G340" t="s">
        <v>28</v>
      </c>
      <c r="H340">
        <v>3</v>
      </c>
      <c r="I340">
        <v>814.03</v>
      </c>
      <c r="J340">
        <v>2442.09</v>
      </c>
      <c r="K340" t="s">
        <v>22</v>
      </c>
      <c r="L340">
        <v>1</v>
      </c>
      <c r="M340" t="s">
        <v>381</v>
      </c>
    </row>
    <row r="341" spans="1:13">
      <c r="A341">
        <v>10340</v>
      </c>
      <c r="B341">
        <v>4502</v>
      </c>
      <c r="C341">
        <v>58</v>
      </c>
      <c r="D341" t="s">
        <v>13</v>
      </c>
      <c r="E341" t="s">
        <v>20</v>
      </c>
      <c r="F341" t="s">
        <v>38</v>
      </c>
      <c r="G341" t="s">
        <v>60</v>
      </c>
      <c r="H341">
        <v>3</v>
      </c>
      <c r="I341">
        <v>1115.6500000000001</v>
      </c>
      <c r="J341">
        <v>3346.95</v>
      </c>
      <c r="K341" t="s">
        <v>17</v>
      </c>
      <c r="L341">
        <v>5</v>
      </c>
      <c r="M341" t="s">
        <v>382</v>
      </c>
    </row>
    <row r="342" spans="1:13">
      <c r="A342">
        <v>10341</v>
      </c>
      <c r="B342">
        <v>4829</v>
      </c>
      <c r="C342">
        <v>26</v>
      </c>
      <c r="D342" t="s">
        <v>19</v>
      </c>
      <c r="E342" t="s">
        <v>30</v>
      </c>
      <c r="F342" t="s">
        <v>21</v>
      </c>
      <c r="G342" t="s">
        <v>25</v>
      </c>
      <c r="H342">
        <v>5</v>
      </c>
      <c r="I342">
        <v>3011.71</v>
      </c>
      <c r="J342">
        <v>15058.55</v>
      </c>
      <c r="K342" t="s">
        <v>26</v>
      </c>
      <c r="L342">
        <v>1</v>
      </c>
      <c r="M342" t="s">
        <v>383</v>
      </c>
    </row>
    <row r="343" spans="1:13">
      <c r="A343">
        <v>10342</v>
      </c>
      <c r="B343">
        <v>3474</v>
      </c>
      <c r="C343">
        <v>19</v>
      </c>
      <c r="D343" t="s">
        <v>19</v>
      </c>
      <c r="E343" t="s">
        <v>30</v>
      </c>
      <c r="F343" t="s">
        <v>50</v>
      </c>
      <c r="G343" t="s">
        <v>56</v>
      </c>
      <c r="H343">
        <v>5</v>
      </c>
      <c r="I343">
        <v>1482.79</v>
      </c>
      <c r="J343">
        <v>7413.95</v>
      </c>
      <c r="K343" t="s">
        <v>17</v>
      </c>
      <c r="L343">
        <v>4</v>
      </c>
      <c r="M343" t="s">
        <v>384</v>
      </c>
    </row>
    <row r="344" spans="1:13">
      <c r="A344">
        <v>10343</v>
      </c>
      <c r="B344">
        <v>4524</v>
      </c>
      <c r="C344">
        <v>40</v>
      </c>
      <c r="D344" t="s">
        <v>19</v>
      </c>
      <c r="E344" t="s">
        <v>20</v>
      </c>
      <c r="F344" t="s">
        <v>31</v>
      </c>
      <c r="G344" t="s">
        <v>69</v>
      </c>
      <c r="H344">
        <v>3</v>
      </c>
      <c r="I344">
        <v>1710.81</v>
      </c>
      <c r="J344">
        <v>5132.43</v>
      </c>
      <c r="K344" t="s">
        <v>34</v>
      </c>
      <c r="L344">
        <v>2</v>
      </c>
      <c r="M344" t="s">
        <v>385</v>
      </c>
    </row>
    <row r="345" spans="1:13">
      <c r="A345">
        <v>10344</v>
      </c>
      <c r="B345">
        <v>2249</v>
      </c>
      <c r="C345">
        <v>20</v>
      </c>
      <c r="D345" t="s">
        <v>13</v>
      </c>
      <c r="E345" t="s">
        <v>53</v>
      </c>
      <c r="F345" t="s">
        <v>24</v>
      </c>
      <c r="G345" t="s">
        <v>32</v>
      </c>
      <c r="H345">
        <v>4</v>
      </c>
      <c r="I345">
        <v>1103.6400000000001</v>
      </c>
      <c r="J345">
        <v>4414.5600000000004</v>
      </c>
      <c r="K345" t="s">
        <v>22</v>
      </c>
      <c r="L345">
        <v>2</v>
      </c>
      <c r="M345" t="s">
        <v>386</v>
      </c>
    </row>
    <row r="346" spans="1:13">
      <c r="A346">
        <v>10345</v>
      </c>
      <c r="B346">
        <v>2565</v>
      </c>
      <c r="C346">
        <v>40</v>
      </c>
      <c r="D346" t="s">
        <v>13</v>
      </c>
      <c r="E346" t="s">
        <v>43</v>
      </c>
      <c r="F346" t="s">
        <v>38</v>
      </c>
      <c r="G346" t="s">
        <v>28</v>
      </c>
      <c r="H346">
        <v>2</v>
      </c>
      <c r="I346">
        <v>1191.08</v>
      </c>
      <c r="J346">
        <v>2382.16</v>
      </c>
      <c r="K346" t="s">
        <v>26</v>
      </c>
      <c r="L346">
        <v>5</v>
      </c>
      <c r="M346" t="s">
        <v>387</v>
      </c>
    </row>
    <row r="347" spans="1:13">
      <c r="A347">
        <v>10346</v>
      </c>
      <c r="B347">
        <v>4953</v>
      </c>
      <c r="C347">
        <v>19</v>
      </c>
      <c r="D347" t="s">
        <v>13</v>
      </c>
      <c r="E347" t="s">
        <v>53</v>
      </c>
      <c r="F347" t="s">
        <v>38</v>
      </c>
      <c r="G347" t="s">
        <v>16</v>
      </c>
      <c r="H347">
        <v>3</v>
      </c>
      <c r="I347">
        <v>2478.08</v>
      </c>
      <c r="J347">
        <v>7434.24</v>
      </c>
      <c r="K347" t="s">
        <v>34</v>
      </c>
      <c r="L347">
        <v>5</v>
      </c>
      <c r="M347" t="s">
        <v>388</v>
      </c>
    </row>
    <row r="348" spans="1:13">
      <c r="A348">
        <v>10347</v>
      </c>
      <c r="B348">
        <v>4729</v>
      </c>
      <c r="C348">
        <v>26</v>
      </c>
      <c r="D348" t="s">
        <v>13</v>
      </c>
      <c r="E348" t="s">
        <v>43</v>
      </c>
      <c r="F348" t="s">
        <v>24</v>
      </c>
      <c r="G348" t="s">
        <v>44</v>
      </c>
      <c r="H348">
        <v>2</v>
      </c>
      <c r="I348">
        <v>2696.41</v>
      </c>
      <c r="J348">
        <v>5392.82</v>
      </c>
      <c r="K348" t="s">
        <v>17</v>
      </c>
      <c r="L348">
        <v>3</v>
      </c>
      <c r="M348" t="s">
        <v>389</v>
      </c>
    </row>
    <row r="349" spans="1:13">
      <c r="A349">
        <v>10348</v>
      </c>
      <c r="B349">
        <v>3465</v>
      </c>
      <c r="C349">
        <v>25</v>
      </c>
      <c r="D349" t="s">
        <v>19</v>
      </c>
      <c r="E349" t="s">
        <v>14</v>
      </c>
      <c r="F349" t="s">
        <v>31</v>
      </c>
      <c r="G349" t="s">
        <v>28</v>
      </c>
      <c r="H349">
        <v>2</v>
      </c>
      <c r="I349">
        <v>2704.43</v>
      </c>
      <c r="J349">
        <v>5408.86</v>
      </c>
      <c r="K349" t="s">
        <v>39</v>
      </c>
      <c r="L349">
        <v>4</v>
      </c>
      <c r="M349" t="s">
        <v>390</v>
      </c>
    </row>
    <row r="350" spans="1:13">
      <c r="A350">
        <v>10349</v>
      </c>
      <c r="B350">
        <v>2856</v>
      </c>
      <c r="C350">
        <v>41</v>
      </c>
      <c r="D350" t="s">
        <v>13</v>
      </c>
      <c r="E350" t="s">
        <v>43</v>
      </c>
      <c r="F350" t="s">
        <v>50</v>
      </c>
      <c r="G350" t="s">
        <v>16</v>
      </c>
      <c r="H350">
        <v>1</v>
      </c>
      <c r="I350">
        <v>4986.55</v>
      </c>
      <c r="J350">
        <v>4986.55</v>
      </c>
      <c r="K350" t="s">
        <v>26</v>
      </c>
      <c r="L350">
        <v>5</v>
      </c>
      <c r="M350" t="s">
        <v>391</v>
      </c>
    </row>
    <row r="351" spans="1:13">
      <c r="A351">
        <v>10350</v>
      </c>
      <c r="B351">
        <v>4413</v>
      </c>
      <c r="C351">
        <v>31</v>
      </c>
      <c r="D351" t="s">
        <v>13</v>
      </c>
      <c r="E351" t="s">
        <v>43</v>
      </c>
      <c r="F351" t="s">
        <v>24</v>
      </c>
      <c r="G351" t="s">
        <v>16</v>
      </c>
      <c r="H351">
        <v>1</v>
      </c>
      <c r="I351">
        <v>909.1</v>
      </c>
      <c r="J351">
        <v>909.1</v>
      </c>
      <c r="K351" t="s">
        <v>22</v>
      </c>
      <c r="L351">
        <v>2</v>
      </c>
      <c r="M351" t="s">
        <v>392</v>
      </c>
    </row>
    <row r="352" spans="1:13">
      <c r="A352">
        <v>10351</v>
      </c>
      <c r="B352">
        <v>4806</v>
      </c>
      <c r="C352">
        <v>18</v>
      </c>
      <c r="D352" t="s">
        <v>19</v>
      </c>
      <c r="E352" t="s">
        <v>14</v>
      </c>
      <c r="F352" t="s">
        <v>31</v>
      </c>
      <c r="G352" t="s">
        <v>44</v>
      </c>
      <c r="H352">
        <v>5</v>
      </c>
      <c r="I352">
        <v>3854</v>
      </c>
      <c r="J352">
        <v>19270</v>
      </c>
      <c r="K352" t="s">
        <v>26</v>
      </c>
      <c r="L352">
        <v>2</v>
      </c>
      <c r="M352" t="s">
        <v>393</v>
      </c>
    </row>
    <row r="353" spans="1:13">
      <c r="A353">
        <v>10352</v>
      </c>
      <c r="B353">
        <v>4804</v>
      </c>
      <c r="C353">
        <v>57</v>
      </c>
      <c r="D353" t="s">
        <v>13</v>
      </c>
      <c r="E353" t="s">
        <v>20</v>
      </c>
      <c r="F353" t="s">
        <v>50</v>
      </c>
      <c r="G353" t="s">
        <v>25</v>
      </c>
      <c r="H353">
        <v>1</v>
      </c>
      <c r="I353">
        <v>4030.66</v>
      </c>
      <c r="J353">
        <v>4030.66</v>
      </c>
      <c r="K353" t="s">
        <v>26</v>
      </c>
      <c r="L353">
        <v>2</v>
      </c>
      <c r="M353" t="s">
        <v>394</v>
      </c>
    </row>
    <row r="354" spans="1:13">
      <c r="A354">
        <v>10353</v>
      </c>
      <c r="B354">
        <v>3740</v>
      </c>
      <c r="C354">
        <v>21</v>
      </c>
      <c r="D354" t="s">
        <v>19</v>
      </c>
      <c r="E354" t="s">
        <v>43</v>
      </c>
      <c r="F354" t="s">
        <v>24</v>
      </c>
      <c r="G354" t="s">
        <v>44</v>
      </c>
      <c r="H354">
        <v>4</v>
      </c>
      <c r="I354">
        <v>3048.95</v>
      </c>
      <c r="J354">
        <v>12195.8</v>
      </c>
      <c r="K354" t="s">
        <v>22</v>
      </c>
      <c r="L354">
        <v>1</v>
      </c>
      <c r="M354" t="s">
        <v>395</v>
      </c>
    </row>
    <row r="355" spans="1:13">
      <c r="A355">
        <v>10354</v>
      </c>
      <c r="B355">
        <v>2850</v>
      </c>
      <c r="C355">
        <v>28</v>
      </c>
      <c r="D355" t="s">
        <v>19</v>
      </c>
      <c r="E355" t="s">
        <v>20</v>
      </c>
      <c r="F355" t="s">
        <v>15</v>
      </c>
      <c r="G355" t="s">
        <v>28</v>
      </c>
      <c r="H355">
        <v>5</v>
      </c>
      <c r="I355">
        <v>2474.87</v>
      </c>
      <c r="J355">
        <v>12374.35</v>
      </c>
      <c r="K355" t="s">
        <v>17</v>
      </c>
      <c r="L355">
        <v>2</v>
      </c>
      <c r="M355" t="s">
        <v>396</v>
      </c>
    </row>
    <row r="356" spans="1:13">
      <c r="A356">
        <v>10355</v>
      </c>
      <c r="B356">
        <v>2362</v>
      </c>
      <c r="C356">
        <v>52</v>
      </c>
      <c r="D356" t="s">
        <v>13</v>
      </c>
      <c r="E356" t="s">
        <v>36</v>
      </c>
      <c r="F356" t="s">
        <v>24</v>
      </c>
      <c r="G356" t="s">
        <v>56</v>
      </c>
      <c r="H356">
        <v>4</v>
      </c>
      <c r="I356">
        <v>4499.1099999999997</v>
      </c>
      <c r="J356">
        <v>17996.439999999999</v>
      </c>
      <c r="K356" t="s">
        <v>26</v>
      </c>
      <c r="L356">
        <v>1</v>
      </c>
      <c r="M356" t="s">
        <v>397</v>
      </c>
    </row>
    <row r="357" spans="1:13">
      <c r="A357">
        <v>10356</v>
      </c>
      <c r="B357">
        <v>2105</v>
      </c>
      <c r="C357">
        <v>51</v>
      </c>
      <c r="D357" t="s">
        <v>19</v>
      </c>
      <c r="E357" t="s">
        <v>43</v>
      </c>
      <c r="F357" t="s">
        <v>15</v>
      </c>
      <c r="G357" t="s">
        <v>28</v>
      </c>
      <c r="H357">
        <v>4</v>
      </c>
      <c r="I357">
        <v>4192.45</v>
      </c>
      <c r="J357">
        <v>16769.8</v>
      </c>
      <c r="K357" t="s">
        <v>17</v>
      </c>
      <c r="L357">
        <v>5</v>
      </c>
      <c r="M357" t="s">
        <v>398</v>
      </c>
    </row>
    <row r="358" spans="1:13">
      <c r="A358">
        <v>10357</v>
      </c>
      <c r="B358">
        <v>2036</v>
      </c>
      <c r="C358">
        <v>29</v>
      </c>
      <c r="D358" t="s">
        <v>19</v>
      </c>
      <c r="E358" t="s">
        <v>55</v>
      </c>
      <c r="F358" t="s">
        <v>15</v>
      </c>
      <c r="G358" t="s">
        <v>44</v>
      </c>
      <c r="H358">
        <v>3</v>
      </c>
      <c r="I358">
        <v>536.37</v>
      </c>
      <c r="J358">
        <v>1609.11</v>
      </c>
      <c r="K358" t="s">
        <v>39</v>
      </c>
      <c r="L358">
        <v>3</v>
      </c>
      <c r="M358" t="s">
        <v>399</v>
      </c>
    </row>
    <row r="359" spans="1:13">
      <c r="A359">
        <v>10358</v>
      </c>
      <c r="B359">
        <v>3168</v>
      </c>
      <c r="C359">
        <v>20</v>
      </c>
      <c r="D359" t="s">
        <v>19</v>
      </c>
      <c r="E359" t="s">
        <v>43</v>
      </c>
      <c r="F359" t="s">
        <v>31</v>
      </c>
      <c r="G359" t="s">
        <v>62</v>
      </c>
      <c r="H359">
        <v>1</v>
      </c>
      <c r="I359">
        <v>4826.0200000000004</v>
      </c>
      <c r="J359">
        <v>4826.0200000000004</v>
      </c>
      <c r="K359" t="s">
        <v>39</v>
      </c>
      <c r="L359">
        <v>3</v>
      </c>
      <c r="M359" t="s">
        <v>400</v>
      </c>
    </row>
    <row r="360" spans="1:13">
      <c r="A360">
        <v>10359</v>
      </c>
      <c r="B360">
        <v>3182</v>
      </c>
      <c r="C360">
        <v>28</v>
      </c>
      <c r="D360" t="s">
        <v>13</v>
      </c>
      <c r="E360" t="s">
        <v>55</v>
      </c>
      <c r="F360" t="s">
        <v>38</v>
      </c>
      <c r="G360" t="s">
        <v>41</v>
      </c>
      <c r="H360">
        <v>3</v>
      </c>
      <c r="I360">
        <v>334.5</v>
      </c>
      <c r="J360">
        <v>1003.5</v>
      </c>
      <c r="K360" t="s">
        <v>22</v>
      </c>
      <c r="L360">
        <v>2</v>
      </c>
      <c r="M360" t="s">
        <v>401</v>
      </c>
    </row>
    <row r="361" spans="1:13">
      <c r="A361">
        <v>10360</v>
      </c>
      <c r="B361">
        <v>4666</v>
      </c>
      <c r="C361">
        <v>45</v>
      </c>
      <c r="D361" t="s">
        <v>13</v>
      </c>
      <c r="E361" t="s">
        <v>30</v>
      </c>
      <c r="F361" t="s">
        <v>38</v>
      </c>
      <c r="G361" t="s">
        <v>32</v>
      </c>
      <c r="H361">
        <v>2</v>
      </c>
      <c r="I361">
        <v>2993.72</v>
      </c>
      <c r="J361">
        <v>5987.44</v>
      </c>
      <c r="K361" t="s">
        <v>17</v>
      </c>
      <c r="L361">
        <v>4</v>
      </c>
      <c r="M361" t="s">
        <v>402</v>
      </c>
    </row>
    <row r="362" spans="1:13">
      <c r="A362">
        <v>10361</v>
      </c>
      <c r="B362">
        <v>4260</v>
      </c>
      <c r="C362">
        <v>23</v>
      </c>
      <c r="D362" t="s">
        <v>13</v>
      </c>
      <c r="E362" t="s">
        <v>14</v>
      </c>
      <c r="F362" t="s">
        <v>24</v>
      </c>
      <c r="G362" t="s">
        <v>41</v>
      </c>
      <c r="H362">
        <v>5</v>
      </c>
      <c r="I362">
        <v>2990.42</v>
      </c>
      <c r="J362">
        <v>14952.1</v>
      </c>
      <c r="K362" t="s">
        <v>34</v>
      </c>
      <c r="L362">
        <v>4</v>
      </c>
      <c r="M362" t="s">
        <v>403</v>
      </c>
    </row>
    <row r="363" spans="1:13">
      <c r="A363">
        <v>10362</v>
      </c>
      <c r="B363">
        <v>2803</v>
      </c>
      <c r="C363">
        <v>44</v>
      </c>
      <c r="D363" t="s">
        <v>19</v>
      </c>
      <c r="E363" t="s">
        <v>30</v>
      </c>
      <c r="F363" t="s">
        <v>38</v>
      </c>
      <c r="G363" t="s">
        <v>44</v>
      </c>
      <c r="H363">
        <v>5</v>
      </c>
      <c r="I363">
        <v>4221.58</v>
      </c>
      <c r="J363">
        <v>21107.9</v>
      </c>
      <c r="K363" t="s">
        <v>22</v>
      </c>
      <c r="L363">
        <v>4</v>
      </c>
      <c r="M363" t="s">
        <v>404</v>
      </c>
    </row>
    <row r="364" spans="1:13">
      <c r="A364">
        <v>10363</v>
      </c>
      <c r="B364">
        <v>2337</v>
      </c>
      <c r="C364">
        <v>21</v>
      </c>
      <c r="D364" t="s">
        <v>13</v>
      </c>
      <c r="E364" t="s">
        <v>43</v>
      </c>
      <c r="F364" t="s">
        <v>15</v>
      </c>
      <c r="G364" t="s">
        <v>41</v>
      </c>
      <c r="H364">
        <v>1</v>
      </c>
      <c r="I364">
        <v>2108.17</v>
      </c>
      <c r="J364">
        <v>2108.17</v>
      </c>
      <c r="K364" t="s">
        <v>22</v>
      </c>
      <c r="L364">
        <v>3</v>
      </c>
      <c r="M364" t="s">
        <v>405</v>
      </c>
    </row>
    <row r="365" spans="1:13">
      <c r="A365">
        <v>10364</v>
      </c>
      <c r="B365">
        <v>2770</v>
      </c>
      <c r="C365">
        <v>49</v>
      </c>
      <c r="D365" t="s">
        <v>19</v>
      </c>
      <c r="E365" t="s">
        <v>14</v>
      </c>
      <c r="F365" t="s">
        <v>50</v>
      </c>
      <c r="G365" t="s">
        <v>28</v>
      </c>
      <c r="H365">
        <v>3</v>
      </c>
      <c r="I365">
        <v>727.89</v>
      </c>
      <c r="J365">
        <v>2183.67</v>
      </c>
      <c r="K365" t="s">
        <v>17</v>
      </c>
      <c r="L365">
        <v>4</v>
      </c>
      <c r="M365" t="s">
        <v>406</v>
      </c>
    </row>
    <row r="366" spans="1:13">
      <c r="A366">
        <v>10365</v>
      </c>
      <c r="B366">
        <v>2213</v>
      </c>
      <c r="C366">
        <v>29</v>
      </c>
      <c r="D366" t="s">
        <v>19</v>
      </c>
      <c r="E366" t="s">
        <v>14</v>
      </c>
      <c r="F366" t="s">
        <v>21</v>
      </c>
      <c r="G366" t="s">
        <v>25</v>
      </c>
      <c r="H366">
        <v>3</v>
      </c>
      <c r="I366">
        <v>3033.93</v>
      </c>
      <c r="J366">
        <v>9101.7900000000009</v>
      </c>
      <c r="K366" t="s">
        <v>34</v>
      </c>
      <c r="L366">
        <v>5</v>
      </c>
      <c r="M366" t="s">
        <v>407</v>
      </c>
    </row>
    <row r="367" spans="1:13">
      <c r="A367">
        <v>10366</v>
      </c>
      <c r="B367">
        <v>4141</v>
      </c>
      <c r="C367">
        <v>21</v>
      </c>
      <c r="D367" t="s">
        <v>13</v>
      </c>
      <c r="E367" t="s">
        <v>36</v>
      </c>
      <c r="F367" t="s">
        <v>15</v>
      </c>
      <c r="G367" t="s">
        <v>44</v>
      </c>
      <c r="H367">
        <v>2</v>
      </c>
      <c r="I367">
        <v>416.78</v>
      </c>
      <c r="J367">
        <v>833.56</v>
      </c>
      <c r="K367" t="s">
        <v>17</v>
      </c>
      <c r="L367">
        <v>5</v>
      </c>
      <c r="M367" t="s">
        <v>408</v>
      </c>
    </row>
    <row r="368" spans="1:13">
      <c r="A368">
        <v>10367</v>
      </c>
      <c r="B368">
        <v>2621</v>
      </c>
      <c r="C368">
        <v>19</v>
      </c>
      <c r="D368" t="s">
        <v>13</v>
      </c>
      <c r="E368" t="s">
        <v>43</v>
      </c>
      <c r="F368" t="s">
        <v>31</v>
      </c>
      <c r="G368" t="s">
        <v>16</v>
      </c>
      <c r="H368">
        <v>4</v>
      </c>
      <c r="I368">
        <v>2000.44</v>
      </c>
      <c r="J368">
        <v>8001.76</v>
      </c>
      <c r="K368" t="s">
        <v>17</v>
      </c>
      <c r="L368">
        <v>2</v>
      </c>
      <c r="M368" t="s">
        <v>409</v>
      </c>
    </row>
    <row r="369" spans="1:13">
      <c r="A369">
        <v>10368</v>
      </c>
      <c r="B369">
        <v>2848</v>
      </c>
      <c r="C369">
        <v>31</v>
      </c>
      <c r="D369" t="s">
        <v>19</v>
      </c>
      <c r="E369" t="s">
        <v>43</v>
      </c>
      <c r="F369" t="s">
        <v>21</v>
      </c>
      <c r="G369" t="s">
        <v>62</v>
      </c>
      <c r="H369">
        <v>1</v>
      </c>
      <c r="I369">
        <v>4930.99</v>
      </c>
      <c r="J369">
        <v>4930.99</v>
      </c>
      <c r="K369" t="s">
        <v>26</v>
      </c>
      <c r="L369">
        <v>2</v>
      </c>
      <c r="M369" t="s">
        <v>410</v>
      </c>
    </row>
    <row r="370" spans="1:13">
      <c r="A370">
        <v>10369</v>
      </c>
      <c r="B370">
        <v>4843</v>
      </c>
      <c r="C370">
        <v>35</v>
      </c>
      <c r="D370" t="s">
        <v>19</v>
      </c>
      <c r="E370" t="s">
        <v>36</v>
      </c>
      <c r="F370" t="s">
        <v>21</v>
      </c>
      <c r="G370" t="s">
        <v>28</v>
      </c>
      <c r="H370">
        <v>3</v>
      </c>
      <c r="I370">
        <v>4383.26</v>
      </c>
      <c r="J370">
        <v>13149.78</v>
      </c>
      <c r="K370" t="s">
        <v>17</v>
      </c>
      <c r="L370">
        <v>5</v>
      </c>
      <c r="M370" t="s">
        <v>411</v>
      </c>
    </row>
    <row r="371" spans="1:13">
      <c r="A371">
        <v>10370</v>
      </c>
      <c r="B371">
        <v>4376</v>
      </c>
      <c r="C371">
        <v>26</v>
      </c>
      <c r="D371" t="s">
        <v>13</v>
      </c>
      <c r="E371" t="s">
        <v>55</v>
      </c>
      <c r="F371" t="s">
        <v>15</v>
      </c>
      <c r="G371" t="s">
        <v>44</v>
      </c>
      <c r="H371">
        <v>2</v>
      </c>
      <c r="I371">
        <v>1016.73</v>
      </c>
      <c r="J371">
        <v>2033.46</v>
      </c>
      <c r="K371" t="s">
        <v>22</v>
      </c>
      <c r="L371">
        <v>1</v>
      </c>
      <c r="M371" t="s">
        <v>412</v>
      </c>
    </row>
    <row r="372" spans="1:13">
      <c r="A372">
        <v>10371</v>
      </c>
      <c r="B372">
        <v>4588</v>
      </c>
      <c r="C372">
        <v>56</v>
      </c>
      <c r="D372" t="s">
        <v>19</v>
      </c>
      <c r="E372" t="s">
        <v>43</v>
      </c>
      <c r="F372" t="s">
        <v>50</v>
      </c>
      <c r="G372" t="s">
        <v>32</v>
      </c>
      <c r="H372">
        <v>2</v>
      </c>
      <c r="I372">
        <v>4054.48</v>
      </c>
      <c r="J372">
        <v>8108.96</v>
      </c>
      <c r="K372" t="s">
        <v>34</v>
      </c>
      <c r="L372">
        <v>1</v>
      </c>
      <c r="M372" t="s">
        <v>413</v>
      </c>
    </row>
    <row r="373" spans="1:13">
      <c r="A373">
        <v>10372</v>
      </c>
      <c r="B373">
        <v>3666</v>
      </c>
      <c r="C373">
        <v>22</v>
      </c>
      <c r="D373" t="s">
        <v>19</v>
      </c>
      <c r="E373" t="s">
        <v>30</v>
      </c>
      <c r="F373" t="s">
        <v>38</v>
      </c>
      <c r="G373" t="s">
        <v>62</v>
      </c>
      <c r="H373">
        <v>1</v>
      </c>
      <c r="I373">
        <v>4111.6899999999996</v>
      </c>
      <c r="J373">
        <v>4111.6899999999996</v>
      </c>
      <c r="K373" t="s">
        <v>26</v>
      </c>
      <c r="L373">
        <v>3</v>
      </c>
      <c r="M373" t="s">
        <v>414</v>
      </c>
    </row>
    <row r="374" spans="1:13">
      <c r="A374">
        <v>10373</v>
      </c>
      <c r="B374">
        <v>3763</v>
      </c>
      <c r="C374">
        <v>24</v>
      </c>
      <c r="D374" t="s">
        <v>13</v>
      </c>
      <c r="E374" t="s">
        <v>14</v>
      </c>
      <c r="F374" t="s">
        <v>38</v>
      </c>
      <c r="G374" t="s">
        <v>28</v>
      </c>
      <c r="H374">
        <v>2</v>
      </c>
      <c r="I374">
        <v>4662.57</v>
      </c>
      <c r="J374">
        <v>9325.14</v>
      </c>
      <c r="K374" t="s">
        <v>17</v>
      </c>
      <c r="L374">
        <v>2</v>
      </c>
      <c r="M374" t="s">
        <v>415</v>
      </c>
    </row>
    <row r="375" spans="1:13">
      <c r="A375">
        <v>10374</v>
      </c>
      <c r="B375">
        <v>4445</v>
      </c>
      <c r="C375">
        <v>30</v>
      </c>
      <c r="D375" t="s">
        <v>13</v>
      </c>
      <c r="E375" t="s">
        <v>14</v>
      </c>
      <c r="F375" t="s">
        <v>50</v>
      </c>
      <c r="G375" t="s">
        <v>32</v>
      </c>
      <c r="H375">
        <v>5</v>
      </c>
      <c r="I375">
        <v>1354.61</v>
      </c>
      <c r="J375">
        <v>6773.05</v>
      </c>
      <c r="K375" t="s">
        <v>22</v>
      </c>
      <c r="L375">
        <v>1</v>
      </c>
      <c r="M375" t="s">
        <v>416</v>
      </c>
    </row>
    <row r="376" spans="1:13">
      <c r="A376">
        <v>10375</v>
      </c>
      <c r="B376">
        <v>3449</v>
      </c>
      <c r="C376">
        <v>27</v>
      </c>
      <c r="D376" t="s">
        <v>19</v>
      </c>
      <c r="E376" t="s">
        <v>36</v>
      </c>
      <c r="F376" t="s">
        <v>15</v>
      </c>
      <c r="G376" t="s">
        <v>32</v>
      </c>
      <c r="H376">
        <v>2</v>
      </c>
      <c r="I376">
        <v>2645.15</v>
      </c>
      <c r="J376">
        <v>5290.3</v>
      </c>
      <c r="K376" t="s">
        <v>39</v>
      </c>
      <c r="L376">
        <v>5</v>
      </c>
      <c r="M376" t="s">
        <v>417</v>
      </c>
    </row>
    <row r="377" spans="1:13">
      <c r="A377">
        <v>10376</v>
      </c>
      <c r="B377">
        <v>4937</v>
      </c>
      <c r="C377">
        <v>23</v>
      </c>
      <c r="D377" t="s">
        <v>19</v>
      </c>
      <c r="E377" t="s">
        <v>20</v>
      </c>
      <c r="F377" t="s">
        <v>15</v>
      </c>
      <c r="G377" t="s">
        <v>32</v>
      </c>
      <c r="H377">
        <v>1</v>
      </c>
      <c r="I377">
        <v>4188.99</v>
      </c>
      <c r="J377">
        <v>4188.99</v>
      </c>
      <c r="K377" t="s">
        <v>34</v>
      </c>
      <c r="L377">
        <v>5</v>
      </c>
      <c r="M377" t="s">
        <v>418</v>
      </c>
    </row>
    <row r="378" spans="1:13">
      <c r="A378">
        <v>10377</v>
      </c>
      <c r="B378">
        <v>4788</v>
      </c>
      <c r="C378">
        <v>33</v>
      </c>
      <c r="D378" t="s">
        <v>13</v>
      </c>
      <c r="E378" t="s">
        <v>43</v>
      </c>
      <c r="F378" t="s">
        <v>38</v>
      </c>
      <c r="G378" t="s">
        <v>69</v>
      </c>
      <c r="H378">
        <v>3</v>
      </c>
      <c r="I378">
        <v>3436.47</v>
      </c>
      <c r="J378">
        <v>10309.41</v>
      </c>
      <c r="K378" t="s">
        <v>34</v>
      </c>
      <c r="L378">
        <v>5</v>
      </c>
      <c r="M378" t="s">
        <v>419</v>
      </c>
    </row>
    <row r="379" spans="1:13">
      <c r="A379">
        <v>10378</v>
      </c>
      <c r="B379">
        <v>3192</v>
      </c>
      <c r="C379">
        <v>38</v>
      </c>
      <c r="D379" t="s">
        <v>19</v>
      </c>
      <c r="E379" t="s">
        <v>43</v>
      </c>
      <c r="F379" t="s">
        <v>50</v>
      </c>
      <c r="G379" t="s">
        <v>60</v>
      </c>
      <c r="H379">
        <v>2</v>
      </c>
      <c r="I379">
        <v>3091.5</v>
      </c>
      <c r="J379">
        <v>6183</v>
      </c>
      <c r="K379" t="s">
        <v>26</v>
      </c>
      <c r="L379">
        <v>4</v>
      </c>
      <c r="M379" t="s">
        <v>420</v>
      </c>
    </row>
    <row r="380" spans="1:13">
      <c r="A380">
        <v>10379</v>
      </c>
      <c r="B380">
        <v>3042</v>
      </c>
      <c r="C380">
        <v>49</v>
      </c>
      <c r="D380" t="s">
        <v>13</v>
      </c>
      <c r="E380" t="s">
        <v>14</v>
      </c>
      <c r="F380" t="s">
        <v>21</v>
      </c>
      <c r="G380" t="s">
        <v>60</v>
      </c>
      <c r="H380">
        <v>3</v>
      </c>
      <c r="I380">
        <v>3364.29</v>
      </c>
      <c r="J380">
        <v>10092.870000000001</v>
      </c>
      <c r="K380" t="s">
        <v>34</v>
      </c>
      <c r="L380">
        <v>5</v>
      </c>
      <c r="M380" t="s">
        <v>421</v>
      </c>
    </row>
    <row r="381" spans="1:13">
      <c r="A381">
        <v>10380</v>
      </c>
      <c r="B381">
        <v>2225</v>
      </c>
      <c r="C381">
        <v>44</v>
      </c>
      <c r="D381" t="s">
        <v>19</v>
      </c>
      <c r="E381" t="s">
        <v>20</v>
      </c>
      <c r="F381" t="s">
        <v>21</v>
      </c>
      <c r="G381" t="s">
        <v>44</v>
      </c>
      <c r="H381">
        <v>1</v>
      </c>
      <c r="I381">
        <v>1421.03</v>
      </c>
      <c r="J381">
        <v>1421.03</v>
      </c>
      <c r="K381" t="s">
        <v>34</v>
      </c>
      <c r="L381">
        <v>4</v>
      </c>
      <c r="M381" t="s">
        <v>422</v>
      </c>
    </row>
    <row r="382" spans="1:13">
      <c r="A382">
        <v>10381</v>
      </c>
      <c r="B382">
        <v>4982</v>
      </c>
      <c r="C382">
        <v>25</v>
      </c>
      <c r="D382" t="s">
        <v>13</v>
      </c>
      <c r="E382" t="s">
        <v>36</v>
      </c>
      <c r="F382" t="s">
        <v>21</v>
      </c>
      <c r="G382" t="s">
        <v>44</v>
      </c>
      <c r="H382">
        <v>4</v>
      </c>
      <c r="I382">
        <v>420.04</v>
      </c>
      <c r="J382">
        <v>1680.16</v>
      </c>
      <c r="K382" t="s">
        <v>17</v>
      </c>
      <c r="L382">
        <v>4</v>
      </c>
      <c r="M382" t="s">
        <v>423</v>
      </c>
    </row>
    <row r="383" spans="1:13">
      <c r="A383">
        <v>10382</v>
      </c>
      <c r="B383">
        <v>2319</v>
      </c>
      <c r="C383">
        <v>20</v>
      </c>
      <c r="D383" t="s">
        <v>13</v>
      </c>
      <c r="E383" t="s">
        <v>43</v>
      </c>
      <c r="F383" t="s">
        <v>38</v>
      </c>
      <c r="G383" t="s">
        <v>60</v>
      </c>
      <c r="H383">
        <v>2</v>
      </c>
      <c r="I383">
        <v>3760.41</v>
      </c>
      <c r="J383">
        <v>7520.82</v>
      </c>
      <c r="K383" t="s">
        <v>26</v>
      </c>
      <c r="L383">
        <v>5</v>
      </c>
      <c r="M383" t="s">
        <v>424</v>
      </c>
    </row>
    <row r="384" spans="1:13">
      <c r="A384">
        <v>10383</v>
      </c>
      <c r="B384">
        <v>4547</v>
      </c>
      <c r="C384">
        <v>50</v>
      </c>
      <c r="D384" t="s">
        <v>13</v>
      </c>
      <c r="E384" t="s">
        <v>20</v>
      </c>
      <c r="F384" t="s">
        <v>38</v>
      </c>
      <c r="G384" t="s">
        <v>28</v>
      </c>
      <c r="H384">
        <v>2</v>
      </c>
      <c r="I384">
        <v>1835.92</v>
      </c>
      <c r="J384">
        <v>3671.84</v>
      </c>
      <c r="K384" t="s">
        <v>17</v>
      </c>
      <c r="L384">
        <v>4</v>
      </c>
      <c r="M384" t="s">
        <v>425</v>
      </c>
    </row>
    <row r="385" spans="1:13">
      <c r="A385">
        <v>10384</v>
      </c>
      <c r="B385">
        <v>3582</v>
      </c>
      <c r="C385">
        <v>29</v>
      </c>
      <c r="D385" t="s">
        <v>19</v>
      </c>
      <c r="E385" t="s">
        <v>14</v>
      </c>
      <c r="F385" t="s">
        <v>50</v>
      </c>
      <c r="G385" t="s">
        <v>69</v>
      </c>
      <c r="H385">
        <v>1</v>
      </c>
      <c r="I385">
        <v>2070.7600000000002</v>
      </c>
      <c r="J385">
        <v>2070.7600000000002</v>
      </c>
      <c r="K385" t="s">
        <v>39</v>
      </c>
      <c r="L385">
        <v>5</v>
      </c>
      <c r="M385" t="s">
        <v>426</v>
      </c>
    </row>
    <row r="386" spans="1:13">
      <c r="A386">
        <v>10385</v>
      </c>
      <c r="B386">
        <v>4265</v>
      </c>
      <c r="C386">
        <v>36</v>
      </c>
      <c r="D386" t="s">
        <v>19</v>
      </c>
      <c r="E386" t="s">
        <v>30</v>
      </c>
      <c r="F386" t="s">
        <v>38</v>
      </c>
      <c r="G386" t="s">
        <v>56</v>
      </c>
      <c r="H386">
        <v>4</v>
      </c>
      <c r="I386">
        <v>3179.3</v>
      </c>
      <c r="J386">
        <v>12717.2</v>
      </c>
      <c r="K386" t="s">
        <v>34</v>
      </c>
      <c r="L386">
        <v>3</v>
      </c>
      <c r="M386" t="s">
        <v>427</v>
      </c>
    </row>
    <row r="387" spans="1:13">
      <c r="A387">
        <v>10386</v>
      </c>
      <c r="B387">
        <v>2999</v>
      </c>
      <c r="C387">
        <v>18</v>
      </c>
      <c r="D387" t="s">
        <v>13</v>
      </c>
      <c r="E387" t="s">
        <v>20</v>
      </c>
      <c r="F387" t="s">
        <v>31</v>
      </c>
      <c r="G387" t="s">
        <v>32</v>
      </c>
      <c r="H387">
        <v>3</v>
      </c>
      <c r="I387">
        <v>3388.68</v>
      </c>
      <c r="J387">
        <v>10166.040000000001</v>
      </c>
      <c r="K387" t="s">
        <v>22</v>
      </c>
      <c r="L387">
        <v>4</v>
      </c>
      <c r="M387" t="s">
        <v>428</v>
      </c>
    </row>
    <row r="388" spans="1:13">
      <c r="A388">
        <v>10387</v>
      </c>
      <c r="B388">
        <v>2112</v>
      </c>
      <c r="C388">
        <v>55</v>
      </c>
      <c r="D388" t="s">
        <v>13</v>
      </c>
      <c r="E388" t="s">
        <v>53</v>
      </c>
      <c r="F388" t="s">
        <v>31</v>
      </c>
      <c r="G388" t="s">
        <v>60</v>
      </c>
      <c r="H388">
        <v>2</v>
      </c>
      <c r="I388">
        <v>1253.6199999999999</v>
      </c>
      <c r="J388">
        <v>2507.2399999999998</v>
      </c>
      <c r="K388" t="s">
        <v>22</v>
      </c>
      <c r="L388">
        <v>5</v>
      </c>
      <c r="M388" t="s">
        <v>429</v>
      </c>
    </row>
    <row r="389" spans="1:13">
      <c r="A389">
        <v>10388</v>
      </c>
      <c r="B389">
        <v>4559</v>
      </c>
      <c r="C389">
        <v>27</v>
      </c>
      <c r="D389" t="s">
        <v>19</v>
      </c>
      <c r="E389" t="s">
        <v>36</v>
      </c>
      <c r="F389" t="s">
        <v>50</v>
      </c>
      <c r="G389" t="s">
        <v>62</v>
      </c>
      <c r="H389">
        <v>5</v>
      </c>
      <c r="I389">
        <v>4182.3500000000004</v>
      </c>
      <c r="J389">
        <v>20911.75</v>
      </c>
      <c r="K389" t="s">
        <v>26</v>
      </c>
      <c r="L389">
        <v>5</v>
      </c>
      <c r="M389" t="s">
        <v>430</v>
      </c>
    </row>
    <row r="390" spans="1:13">
      <c r="A390">
        <v>10389</v>
      </c>
      <c r="B390">
        <v>4405</v>
      </c>
      <c r="C390">
        <v>44</v>
      </c>
      <c r="D390" t="s">
        <v>13</v>
      </c>
      <c r="E390" t="s">
        <v>36</v>
      </c>
      <c r="F390" t="s">
        <v>24</v>
      </c>
      <c r="G390" t="s">
        <v>60</v>
      </c>
      <c r="H390">
        <v>5</v>
      </c>
      <c r="I390">
        <v>2086.9699999999998</v>
      </c>
      <c r="J390">
        <v>10434.85</v>
      </c>
      <c r="K390" t="s">
        <v>39</v>
      </c>
      <c r="L390">
        <v>3</v>
      </c>
      <c r="M390" t="s">
        <v>431</v>
      </c>
    </row>
    <row r="391" spans="1:13">
      <c r="A391">
        <v>10390</v>
      </c>
      <c r="B391">
        <v>4562</v>
      </c>
      <c r="C391">
        <v>38</v>
      </c>
      <c r="D391" t="s">
        <v>13</v>
      </c>
      <c r="E391" t="s">
        <v>36</v>
      </c>
      <c r="F391" t="s">
        <v>38</v>
      </c>
      <c r="G391" t="s">
        <v>16</v>
      </c>
      <c r="H391">
        <v>3</v>
      </c>
      <c r="I391">
        <v>3269.2</v>
      </c>
      <c r="J391">
        <v>9807.6</v>
      </c>
      <c r="K391" t="s">
        <v>39</v>
      </c>
      <c r="L391">
        <v>3</v>
      </c>
      <c r="M391" t="s">
        <v>432</v>
      </c>
    </row>
    <row r="392" spans="1:13">
      <c r="A392">
        <v>10391</v>
      </c>
      <c r="B392">
        <v>3820</v>
      </c>
      <c r="C392">
        <v>33</v>
      </c>
      <c r="D392" t="s">
        <v>19</v>
      </c>
      <c r="E392" t="s">
        <v>14</v>
      </c>
      <c r="F392" t="s">
        <v>50</v>
      </c>
      <c r="G392" t="s">
        <v>32</v>
      </c>
      <c r="H392">
        <v>2</v>
      </c>
      <c r="I392">
        <v>4842.13</v>
      </c>
      <c r="J392">
        <v>9684.26</v>
      </c>
      <c r="K392" t="s">
        <v>26</v>
      </c>
      <c r="L392">
        <v>2</v>
      </c>
      <c r="M392" t="s">
        <v>433</v>
      </c>
    </row>
    <row r="393" spans="1:13">
      <c r="A393">
        <v>10392</v>
      </c>
      <c r="B393">
        <v>2715</v>
      </c>
      <c r="C393">
        <v>19</v>
      </c>
      <c r="D393" t="s">
        <v>19</v>
      </c>
      <c r="E393" t="s">
        <v>30</v>
      </c>
      <c r="F393" t="s">
        <v>21</v>
      </c>
      <c r="G393" t="s">
        <v>28</v>
      </c>
      <c r="H393">
        <v>1</v>
      </c>
      <c r="I393">
        <v>2954.5</v>
      </c>
      <c r="J393">
        <v>2954.5</v>
      </c>
      <c r="K393" t="s">
        <v>26</v>
      </c>
      <c r="L393">
        <v>4</v>
      </c>
      <c r="M393" t="s">
        <v>434</v>
      </c>
    </row>
    <row r="394" spans="1:13">
      <c r="A394">
        <v>10393</v>
      </c>
      <c r="B394">
        <v>3706</v>
      </c>
      <c r="C394">
        <v>23</v>
      </c>
      <c r="D394" t="s">
        <v>13</v>
      </c>
      <c r="E394" t="s">
        <v>43</v>
      </c>
      <c r="F394" t="s">
        <v>31</v>
      </c>
      <c r="G394" t="s">
        <v>44</v>
      </c>
      <c r="H394">
        <v>1</v>
      </c>
      <c r="I394">
        <v>1986.88</v>
      </c>
      <c r="J394">
        <v>1986.88</v>
      </c>
      <c r="K394" t="s">
        <v>26</v>
      </c>
      <c r="L394">
        <v>2</v>
      </c>
      <c r="M394" t="s">
        <v>435</v>
      </c>
    </row>
    <row r="395" spans="1:13">
      <c r="A395">
        <v>10394</v>
      </c>
      <c r="B395">
        <v>2794</v>
      </c>
      <c r="C395">
        <v>20</v>
      </c>
      <c r="D395" t="s">
        <v>19</v>
      </c>
      <c r="E395" t="s">
        <v>14</v>
      </c>
      <c r="F395" t="s">
        <v>21</v>
      </c>
      <c r="G395" t="s">
        <v>25</v>
      </c>
      <c r="H395">
        <v>4</v>
      </c>
      <c r="I395">
        <v>3209.16</v>
      </c>
      <c r="J395">
        <v>12836.64</v>
      </c>
      <c r="K395" t="s">
        <v>39</v>
      </c>
      <c r="L395">
        <v>1</v>
      </c>
      <c r="M395" t="s">
        <v>436</v>
      </c>
    </row>
    <row r="396" spans="1:13">
      <c r="A396">
        <v>10395</v>
      </c>
      <c r="B396">
        <v>2232</v>
      </c>
      <c r="C396">
        <v>43</v>
      </c>
      <c r="D396" t="s">
        <v>13</v>
      </c>
      <c r="E396" t="s">
        <v>14</v>
      </c>
      <c r="F396" t="s">
        <v>15</v>
      </c>
      <c r="G396" t="s">
        <v>44</v>
      </c>
      <c r="H396">
        <v>2</v>
      </c>
      <c r="I396">
        <v>2658.43</v>
      </c>
      <c r="J396">
        <v>5316.86</v>
      </c>
      <c r="K396" t="s">
        <v>22</v>
      </c>
      <c r="L396">
        <v>3</v>
      </c>
      <c r="M396" t="s">
        <v>437</v>
      </c>
    </row>
    <row r="397" spans="1:13">
      <c r="A397">
        <v>10396</v>
      </c>
      <c r="B397">
        <v>4965</v>
      </c>
      <c r="C397">
        <v>46</v>
      </c>
      <c r="D397" t="s">
        <v>13</v>
      </c>
      <c r="E397" t="s">
        <v>53</v>
      </c>
      <c r="F397" t="s">
        <v>38</v>
      </c>
      <c r="G397" t="s">
        <v>44</v>
      </c>
      <c r="H397">
        <v>3</v>
      </c>
      <c r="I397">
        <v>2426.17</v>
      </c>
      <c r="J397">
        <v>7278.51</v>
      </c>
      <c r="K397" t="s">
        <v>34</v>
      </c>
      <c r="L397">
        <v>3</v>
      </c>
      <c r="M397" t="s">
        <v>438</v>
      </c>
    </row>
    <row r="398" spans="1:13">
      <c r="A398">
        <v>10397</v>
      </c>
      <c r="B398">
        <v>3594</v>
      </c>
      <c r="C398">
        <v>37</v>
      </c>
      <c r="D398" t="s">
        <v>13</v>
      </c>
      <c r="E398" t="s">
        <v>55</v>
      </c>
      <c r="F398" t="s">
        <v>38</v>
      </c>
      <c r="G398" t="s">
        <v>28</v>
      </c>
      <c r="H398">
        <v>5</v>
      </c>
      <c r="I398">
        <v>3741.67</v>
      </c>
      <c r="J398">
        <v>18708.349999999999</v>
      </c>
      <c r="K398" t="s">
        <v>22</v>
      </c>
      <c r="L398">
        <v>5</v>
      </c>
      <c r="M398" t="s">
        <v>439</v>
      </c>
    </row>
    <row r="399" spans="1:13">
      <c r="A399">
        <v>10398</v>
      </c>
      <c r="B399">
        <v>3424</v>
      </c>
      <c r="C399">
        <v>35</v>
      </c>
      <c r="D399" t="s">
        <v>19</v>
      </c>
      <c r="E399" t="s">
        <v>14</v>
      </c>
      <c r="F399" t="s">
        <v>24</v>
      </c>
      <c r="G399" t="s">
        <v>16</v>
      </c>
      <c r="H399">
        <v>5</v>
      </c>
      <c r="I399">
        <v>4645.2</v>
      </c>
      <c r="J399">
        <v>23226</v>
      </c>
      <c r="K399" t="s">
        <v>39</v>
      </c>
      <c r="L399">
        <v>1</v>
      </c>
      <c r="M399" t="s">
        <v>440</v>
      </c>
    </row>
    <row r="400" spans="1:13">
      <c r="A400">
        <v>10399</v>
      </c>
      <c r="B400">
        <v>4012</v>
      </c>
      <c r="C400">
        <v>23</v>
      </c>
      <c r="D400" t="s">
        <v>13</v>
      </c>
      <c r="E400" t="s">
        <v>14</v>
      </c>
      <c r="F400" t="s">
        <v>21</v>
      </c>
      <c r="G400" t="s">
        <v>32</v>
      </c>
      <c r="H400">
        <v>1</v>
      </c>
      <c r="I400">
        <v>2552.58</v>
      </c>
      <c r="J400">
        <v>2552.58</v>
      </c>
      <c r="K400" t="s">
        <v>22</v>
      </c>
      <c r="L400">
        <v>2</v>
      </c>
      <c r="M400" t="s">
        <v>441</v>
      </c>
    </row>
    <row r="401" spans="1:13">
      <c r="A401">
        <v>10400</v>
      </c>
      <c r="B401">
        <v>3261</v>
      </c>
      <c r="C401">
        <v>33</v>
      </c>
      <c r="D401" t="s">
        <v>13</v>
      </c>
      <c r="E401" t="s">
        <v>53</v>
      </c>
      <c r="F401" t="s">
        <v>31</v>
      </c>
      <c r="G401" t="s">
        <v>28</v>
      </c>
      <c r="H401">
        <v>4</v>
      </c>
      <c r="I401">
        <v>714.68</v>
      </c>
      <c r="J401">
        <v>2858.72</v>
      </c>
      <c r="K401" t="s">
        <v>17</v>
      </c>
      <c r="L401">
        <v>2</v>
      </c>
      <c r="M401" t="s">
        <v>442</v>
      </c>
    </row>
    <row r="402" spans="1:13">
      <c r="A402">
        <v>10401</v>
      </c>
      <c r="B402">
        <v>4536</v>
      </c>
      <c r="C402">
        <v>28</v>
      </c>
      <c r="D402" t="s">
        <v>13</v>
      </c>
      <c r="E402" t="s">
        <v>20</v>
      </c>
      <c r="F402" t="s">
        <v>21</v>
      </c>
      <c r="G402" t="s">
        <v>62</v>
      </c>
      <c r="H402">
        <v>3</v>
      </c>
      <c r="I402">
        <v>2977.37</v>
      </c>
      <c r="J402">
        <v>8932.11</v>
      </c>
      <c r="K402" t="s">
        <v>26</v>
      </c>
      <c r="L402">
        <v>3</v>
      </c>
      <c r="M402" t="s">
        <v>443</v>
      </c>
    </row>
    <row r="403" spans="1:13">
      <c r="A403">
        <v>10402</v>
      </c>
      <c r="B403">
        <v>3258</v>
      </c>
      <c r="C403">
        <v>47</v>
      </c>
      <c r="D403" t="s">
        <v>13</v>
      </c>
      <c r="E403" t="s">
        <v>14</v>
      </c>
      <c r="F403" t="s">
        <v>15</v>
      </c>
      <c r="G403" t="s">
        <v>32</v>
      </c>
      <c r="H403">
        <v>2</v>
      </c>
      <c r="I403">
        <v>1451.27</v>
      </c>
      <c r="J403">
        <v>2902.54</v>
      </c>
      <c r="K403" t="s">
        <v>17</v>
      </c>
      <c r="L403">
        <v>2</v>
      </c>
      <c r="M403" t="s">
        <v>444</v>
      </c>
    </row>
    <row r="404" spans="1:13">
      <c r="A404">
        <v>10403</v>
      </c>
      <c r="B404">
        <v>3803</v>
      </c>
      <c r="C404">
        <v>35</v>
      </c>
      <c r="D404" t="s">
        <v>19</v>
      </c>
      <c r="E404" t="s">
        <v>36</v>
      </c>
      <c r="F404" t="s">
        <v>38</v>
      </c>
      <c r="G404" t="s">
        <v>60</v>
      </c>
      <c r="H404">
        <v>2</v>
      </c>
      <c r="I404">
        <v>486.02</v>
      </c>
      <c r="J404">
        <v>972.04</v>
      </c>
      <c r="K404" t="s">
        <v>22</v>
      </c>
      <c r="L404">
        <v>2</v>
      </c>
      <c r="M404" t="s">
        <v>445</v>
      </c>
    </row>
    <row r="405" spans="1:13">
      <c r="A405">
        <v>10404</v>
      </c>
      <c r="B405">
        <v>3942</v>
      </c>
      <c r="C405">
        <v>35</v>
      </c>
      <c r="D405" t="s">
        <v>19</v>
      </c>
      <c r="E405" t="s">
        <v>53</v>
      </c>
      <c r="F405" t="s">
        <v>31</v>
      </c>
      <c r="G405" t="s">
        <v>16</v>
      </c>
      <c r="H405">
        <v>1</v>
      </c>
      <c r="I405">
        <v>4004.26</v>
      </c>
      <c r="J405">
        <v>4004.26</v>
      </c>
      <c r="K405" t="s">
        <v>22</v>
      </c>
      <c r="L405">
        <v>4</v>
      </c>
      <c r="M405" t="s">
        <v>446</v>
      </c>
    </row>
    <row r="406" spans="1:13">
      <c r="A406">
        <v>10405</v>
      </c>
      <c r="B406">
        <v>4566</v>
      </c>
      <c r="C406">
        <v>25</v>
      </c>
      <c r="D406" t="s">
        <v>19</v>
      </c>
      <c r="E406" t="s">
        <v>30</v>
      </c>
      <c r="F406" t="s">
        <v>21</v>
      </c>
      <c r="G406" t="s">
        <v>28</v>
      </c>
      <c r="H406">
        <v>3</v>
      </c>
      <c r="I406">
        <v>1582.01</v>
      </c>
      <c r="J406">
        <v>4746.03</v>
      </c>
      <c r="K406" t="s">
        <v>34</v>
      </c>
      <c r="L406">
        <v>4</v>
      </c>
      <c r="M406" t="s">
        <v>447</v>
      </c>
    </row>
    <row r="407" spans="1:13">
      <c r="A407">
        <v>10406</v>
      </c>
      <c r="B407">
        <v>4144</v>
      </c>
      <c r="C407">
        <v>35</v>
      </c>
      <c r="D407" t="s">
        <v>13</v>
      </c>
      <c r="E407" t="s">
        <v>43</v>
      </c>
      <c r="F407" t="s">
        <v>15</v>
      </c>
      <c r="G407" t="s">
        <v>25</v>
      </c>
      <c r="H407">
        <v>1</v>
      </c>
      <c r="I407">
        <v>3952.23</v>
      </c>
      <c r="J407">
        <v>3952.23</v>
      </c>
      <c r="K407" t="s">
        <v>39</v>
      </c>
      <c r="L407">
        <v>3</v>
      </c>
      <c r="M407" t="s">
        <v>448</v>
      </c>
    </row>
    <row r="408" spans="1:13">
      <c r="A408">
        <v>10407</v>
      </c>
      <c r="B408">
        <v>4148</v>
      </c>
      <c r="C408">
        <v>40</v>
      </c>
      <c r="D408" t="s">
        <v>13</v>
      </c>
      <c r="E408" t="s">
        <v>36</v>
      </c>
      <c r="F408" t="s">
        <v>38</v>
      </c>
      <c r="G408" t="s">
        <v>28</v>
      </c>
      <c r="H408">
        <v>4</v>
      </c>
      <c r="I408">
        <v>2594.58</v>
      </c>
      <c r="J408">
        <v>10378.32</v>
      </c>
      <c r="K408" t="s">
        <v>26</v>
      </c>
      <c r="L408">
        <v>2</v>
      </c>
      <c r="M408" t="s">
        <v>449</v>
      </c>
    </row>
    <row r="409" spans="1:13">
      <c r="A409">
        <v>10408</v>
      </c>
      <c r="B409">
        <v>2343</v>
      </c>
      <c r="C409">
        <v>18</v>
      </c>
      <c r="D409" t="s">
        <v>13</v>
      </c>
      <c r="E409" t="s">
        <v>14</v>
      </c>
      <c r="F409" t="s">
        <v>15</v>
      </c>
      <c r="G409" t="s">
        <v>56</v>
      </c>
      <c r="H409">
        <v>1</v>
      </c>
      <c r="I409">
        <v>1794.3</v>
      </c>
      <c r="J409">
        <v>1794.3</v>
      </c>
      <c r="K409" t="s">
        <v>17</v>
      </c>
      <c r="L409">
        <v>2</v>
      </c>
      <c r="M409" t="s">
        <v>450</v>
      </c>
    </row>
    <row r="410" spans="1:13">
      <c r="A410">
        <v>10409</v>
      </c>
      <c r="B410">
        <v>4251</v>
      </c>
      <c r="C410">
        <v>25</v>
      </c>
      <c r="D410" t="s">
        <v>13</v>
      </c>
      <c r="E410" t="s">
        <v>43</v>
      </c>
      <c r="F410" t="s">
        <v>31</v>
      </c>
      <c r="G410" t="s">
        <v>44</v>
      </c>
      <c r="H410">
        <v>1</v>
      </c>
      <c r="I410">
        <v>1775.92</v>
      </c>
      <c r="J410">
        <v>1775.92</v>
      </c>
      <c r="K410" t="s">
        <v>17</v>
      </c>
      <c r="L410">
        <v>1</v>
      </c>
      <c r="M410" t="s">
        <v>451</v>
      </c>
    </row>
    <row r="411" spans="1:13">
      <c r="A411">
        <v>10410</v>
      </c>
      <c r="B411">
        <v>2379</v>
      </c>
      <c r="C411">
        <v>47</v>
      </c>
      <c r="D411" t="s">
        <v>19</v>
      </c>
      <c r="E411" t="s">
        <v>30</v>
      </c>
      <c r="F411" t="s">
        <v>38</v>
      </c>
      <c r="G411" t="s">
        <v>44</v>
      </c>
      <c r="H411">
        <v>3</v>
      </c>
      <c r="I411">
        <v>497.52</v>
      </c>
      <c r="J411">
        <v>1492.56</v>
      </c>
      <c r="K411" t="s">
        <v>39</v>
      </c>
      <c r="L411">
        <v>2</v>
      </c>
      <c r="M411" t="s">
        <v>452</v>
      </c>
    </row>
    <row r="412" spans="1:13">
      <c r="A412">
        <v>10411</v>
      </c>
      <c r="B412">
        <v>4592</v>
      </c>
      <c r="C412">
        <v>46</v>
      </c>
      <c r="D412" t="s">
        <v>13</v>
      </c>
      <c r="E412" t="s">
        <v>30</v>
      </c>
      <c r="F412" t="s">
        <v>31</v>
      </c>
      <c r="G412" t="s">
        <v>28</v>
      </c>
      <c r="H412">
        <v>5</v>
      </c>
      <c r="I412">
        <v>2811.68</v>
      </c>
      <c r="J412">
        <v>14058.4</v>
      </c>
      <c r="K412" t="s">
        <v>34</v>
      </c>
      <c r="L412">
        <v>2</v>
      </c>
      <c r="M412" t="s">
        <v>453</v>
      </c>
    </row>
    <row r="413" spans="1:13">
      <c r="A413">
        <v>10412</v>
      </c>
      <c r="B413">
        <v>3883</v>
      </c>
      <c r="C413">
        <v>53</v>
      </c>
      <c r="D413" t="s">
        <v>13</v>
      </c>
      <c r="E413" t="s">
        <v>53</v>
      </c>
      <c r="F413" t="s">
        <v>21</v>
      </c>
      <c r="G413" t="s">
        <v>62</v>
      </c>
      <c r="H413">
        <v>2</v>
      </c>
      <c r="I413">
        <v>4170.6899999999996</v>
      </c>
      <c r="J413">
        <v>8341.3799999999992</v>
      </c>
      <c r="K413" t="s">
        <v>34</v>
      </c>
      <c r="L413">
        <v>1</v>
      </c>
      <c r="M413" t="s">
        <v>454</v>
      </c>
    </row>
    <row r="414" spans="1:13">
      <c r="A414">
        <v>10413</v>
      </c>
      <c r="B414">
        <v>4737</v>
      </c>
      <c r="C414">
        <v>52</v>
      </c>
      <c r="D414" t="s">
        <v>19</v>
      </c>
      <c r="E414" t="s">
        <v>36</v>
      </c>
      <c r="F414" t="s">
        <v>24</v>
      </c>
      <c r="G414" t="s">
        <v>62</v>
      </c>
      <c r="H414">
        <v>1</v>
      </c>
      <c r="I414">
        <v>694.31</v>
      </c>
      <c r="J414">
        <v>694.31</v>
      </c>
      <c r="K414" t="s">
        <v>34</v>
      </c>
      <c r="L414">
        <v>4</v>
      </c>
      <c r="M414" t="s">
        <v>455</v>
      </c>
    </row>
    <row r="415" spans="1:13">
      <c r="A415">
        <v>10414</v>
      </c>
      <c r="B415">
        <v>3914</v>
      </c>
      <c r="C415">
        <v>58</v>
      </c>
      <c r="D415" t="s">
        <v>19</v>
      </c>
      <c r="E415" t="s">
        <v>43</v>
      </c>
      <c r="F415" t="s">
        <v>15</v>
      </c>
      <c r="G415" t="s">
        <v>44</v>
      </c>
      <c r="H415">
        <v>3</v>
      </c>
      <c r="I415">
        <v>810.23</v>
      </c>
      <c r="J415">
        <v>2430.69</v>
      </c>
      <c r="K415" t="s">
        <v>22</v>
      </c>
      <c r="L415">
        <v>2</v>
      </c>
      <c r="M415" t="s">
        <v>456</v>
      </c>
    </row>
    <row r="416" spans="1:13">
      <c r="A416">
        <v>10415</v>
      </c>
      <c r="B416">
        <v>4176</v>
      </c>
      <c r="C416">
        <v>23</v>
      </c>
      <c r="D416" t="s">
        <v>19</v>
      </c>
      <c r="E416" t="s">
        <v>53</v>
      </c>
      <c r="F416" t="s">
        <v>31</v>
      </c>
      <c r="G416" t="s">
        <v>16</v>
      </c>
      <c r="H416">
        <v>4</v>
      </c>
      <c r="I416">
        <v>2787.5</v>
      </c>
      <c r="J416">
        <v>11150</v>
      </c>
      <c r="K416" t="s">
        <v>39</v>
      </c>
      <c r="L416">
        <v>3</v>
      </c>
      <c r="M416" t="s">
        <v>457</v>
      </c>
    </row>
    <row r="417" spans="1:13">
      <c r="A417">
        <v>10416</v>
      </c>
      <c r="B417">
        <v>3121</v>
      </c>
      <c r="C417">
        <v>46</v>
      </c>
      <c r="D417" t="s">
        <v>19</v>
      </c>
      <c r="E417" t="s">
        <v>30</v>
      </c>
      <c r="F417" t="s">
        <v>31</v>
      </c>
      <c r="G417" t="s">
        <v>25</v>
      </c>
      <c r="H417">
        <v>2</v>
      </c>
      <c r="I417">
        <v>3402.67</v>
      </c>
      <c r="J417">
        <v>6805.34</v>
      </c>
      <c r="K417" t="s">
        <v>22</v>
      </c>
      <c r="L417">
        <v>3</v>
      </c>
      <c r="M417" t="s">
        <v>458</v>
      </c>
    </row>
    <row r="418" spans="1:13">
      <c r="A418">
        <v>10417</v>
      </c>
      <c r="B418">
        <v>3700</v>
      </c>
      <c r="C418">
        <v>59</v>
      </c>
      <c r="D418" t="s">
        <v>13</v>
      </c>
      <c r="E418" t="s">
        <v>43</v>
      </c>
      <c r="F418" t="s">
        <v>50</v>
      </c>
      <c r="G418" t="s">
        <v>60</v>
      </c>
      <c r="H418">
        <v>3</v>
      </c>
      <c r="I418">
        <v>3565.31</v>
      </c>
      <c r="J418">
        <v>10695.93</v>
      </c>
      <c r="K418" t="s">
        <v>34</v>
      </c>
      <c r="L418">
        <v>3</v>
      </c>
      <c r="M418" t="s">
        <v>459</v>
      </c>
    </row>
    <row r="419" spans="1:13">
      <c r="A419">
        <v>10418</v>
      </c>
      <c r="B419">
        <v>4962</v>
      </c>
      <c r="C419">
        <v>52</v>
      </c>
      <c r="D419" t="s">
        <v>13</v>
      </c>
      <c r="E419" t="s">
        <v>53</v>
      </c>
      <c r="F419" t="s">
        <v>50</v>
      </c>
      <c r="G419" t="s">
        <v>44</v>
      </c>
      <c r="H419">
        <v>3</v>
      </c>
      <c r="I419">
        <v>1772.14</v>
      </c>
      <c r="J419">
        <v>5316.42</v>
      </c>
      <c r="K419" t="s">
        <v>39</v>
      </c>
      <c r="L419">
        <v>3</v>
      </c>
      <c r="M419" t="s">
        <v>460</v>
      </c>
    </row>
    <row r="420" spans="1:13">
      <c r="A420">
        <v>10419</v>
      </c>
      <c r="B420">
        <v>4843</v>
      </c>
      <c r="C420">
        <v>52</v>
      </c>
      <c r="D420" t="s">
        <v>19</v>
      </c>
      <c r="E420" t="s">
        <v>36</v>
      </c>
      <c r="F420" t="s">
        <v>15</v>
      </c>
      <c r="G420" t="s">
        <v>25</v>
      </c>
      <c r="H420">
        <v>3</v>
      </c>
      <c r="I420">
        <v>477.56</v>
      </c>
      <c r="J420">
        <v>1432.68</v>
      </c>
      <c r="K420" t="s">
        <v>34</v>
      </c>
      <c r="L420">
        <v>4</v>
      </c>
      <c r="M420" t="s">
        <v>461</v>
      </c>
    </row>
    <row r="421" spans="1:13">
      <c r="A421">
        <v>10420</v>
      </c>
      <c r="B421">
        <v>4716</v>
      </c>
      <c r="C421">
        <v>37</v>
      </c>
      <c r="D421" t="s">
        <v>13</v>
      </c>
      <c r="E421" t="s">
        <v>20</v>
      </c>
      <c r="F421" t="s">
        <v>24</v>
      </c>
      <c r="G421" t="s">
        <v>41</v>
      </c>
      <c r="H421">
        <v>4</v>
      </c>
      <c r="I421">
        <v>2248.4499999999998</v>
      </c>
      <c r="J421">
        <v>8993.7999999999993</v>
      </c>
      <c r="K421" t="s">
        <v>34</v>
      </c>
      <c r="L421">
        <v>4</v>
      </c>
      <c r="M421" t="s">
        <v>462</v>
      </c>
    </row>
    <row r="422" spans="1:13">
      <c r="A422">
        <v>10421</v>
      </c>
      <c r="B422">
        <v>2564</v>
      </c>
      <c r="C422">
        <v>31</v>
      </c>
      <c r="D422" t="s">
        <v>13</v>
      </c>
      <c r="E422" t="s">
        <v>55</v>
      </c>
      <c r="F422" t="s">
        <v>50</v>
      </c>
      <c r="G422" t="s">
        <v>60</v>
      </c>
      <c r="H422">
        <v>3</v>
      </c>
      <c r="I422">
        <v>1362.41</v>
      </c>
      <c r="J422">
        <v>4087.23</v>
      </c>
      <c r="K422" t="s">
        <v>17</v>
      </c>
      <c r="L422">
        <v>4</v>
      </c>
      <c r="M422" t="s">
        <v>463</v>
      </c>
    </row>
    <row r="423" spans="1:13">
      <c r="A423">
        <v>10422</v>
      </c>
      <c r="B423">
        <v>3638</v>
      </c>
      <c r="C423">
        <v>55</v>
      </c>
      <c r="D423" t="s">
        <v>19</v>
      </c>
      <c r="E423" t="s">
        <v>30</v>
      </c>
      <c r="F423" t="s">
        <v>21</v>
      </c>
      <c r="G423" t="s">
        <v>25</v>
      </c>
      <c r="H423">
        <v>3</v>
      </c>
      <c r="I423">
        <v>305.24</v>
      </c>
      <c r="J423">
        <v>915.72</v>
      </c>
      <c r="K423" t="s">
        <v>26</v>
      </c>
      <c r="L423">
        <v>5</v>
      </c>
      <c r="M423" t="s">
        <v>464</v>
      </c>
    </row>
    <row r="424" spans="1:13">
      <c r="A424">
        <v>10423</v>
      </c>
      <c r="B424">
        <v>3522</v>
      </c>
      <c r="C424">
        <v>43</v>
      </c>
      <c r="D424" t="s">
        <v>19</v>
      </c>
      <c r="E424" t="s">
        <v>14</v>
      </c>
      <c r="F424" t="s">
        <v>24</v>
      </c>
      <c r="G424" t="s">
        <v>60</v>
      </c>
      <c r="H424">
        <v>4</v>
      </c>
      <c r="I424">
        <v>3522.87</v>
      </c>
      <c r="J424">
        <v>14091.48</v>
      </c>
      <c r="K424" t="s">
        <v>22</v>
      </c>
      <c r="L424">
        <v>2</v>
      </c>
      <c r="M424" t="s">
        <v>465</v>
      </c>
    </row>
    <row r="425" spans="1:13">
      <c r="A425">
        <v>10424</v>
      </c>
      <c r="B425">
        <v>2734</v>
      </c>
      <c r="C425">
        <v>22</v>
      </c>
      <c r="D425" t="s">
        <v>13</v>
      </c>
      <c r="E425" t="s">
        <v>55</v>
      </c>
      <c r="F425" t="s">
        <v>50</v>
      </c>
      <c r="G425" t="s">
        <v>25</v>
      </c>
      <c r="H425">
        <v>4</v>
      </c>
      <c r="I425">
        <v>4774.6899999999996</v>
      </c>
      <c r="J425">
        <v>19098.759999999998</v>
      </c>
      <c r="K425" t="s">
        <v>22</v>
      </c>
      <c r="L425">
        <v>1</v>
      </c>
      <c r="M425" t="s">
        <v>466</v>
      </c>
    </row>
    <row r="426" spans="1:13">
      <c r="A426">
        <v>10425</v>
      </c>
      <c r="B426">
        <v>2818</v>
      </c>
      <c r="C426">
        <v>29</v>
      </c>
      <c r="D426" t="s">
        <v>13</v>
      </c>
      <c r="E426" t="s">
        <v>43</v>
      </c>
      <c r="F426" t="s">
        <v>24</v>
      </c>
      <c r="G426" t="s">
        <v>41</v>
      </c>
      <c r="H426">
        <v>5</v>
      </c>
      <c r="I426">
        <v>2138.41</v>
      </c>
      <c r="J426">
        <v>10692.05</v>
      </c>
      <c r="K426" t="s">
        <v>17</v>
      </c>
      <c r="L426">
        <v>3</v>
      </c>
      <c r="M426" t="s">
        <v>467</v>
      </c>
    </row>
    <row r="427" spans="1:13">
      <c r="A427">
        <v>10426</v>
      </c>
      <c r="B427">
        <v>2814</v>
      </c>
      <c r="C427">
        <v>47</v>
      </c>
      <c r="D427" t="s">
        <v>13</v>
      </c>
      <c r="E427" t="s">
        <v>55</v>
      </c>
      <c r="F427" t="s">
        <v>31</v>
      </c>
      <c r="G427" t="s">
        <v>44</v>
      </c>
      <c r="H427">
        <v>5</v>
      </c>
      <c r="I427">
        <v>1711.4</v>
      </c>
      <c r="J427">
        <v>8557</v>
      </c>
      <c r="K427" t="s">
        <v>26</v>
      </c>
      <c r="L427">
        <v>4</v>
      </c>
      <c r="M427" t="s">
        <v>468</v>
      </c>
    </row>
    <row r="428" spans="1:13">
      <c r="A428">
        <v>10427</v>
      </c>
      <c r="B428">
        <v>2519</v>
      </c>
      <c r="C428">
        <v>30</v>
      </c>
      <c r="D428" t="s">
        <v>13</v>
      </c>
      <c r="E428" t="s">
        <v>20</v>
      </c>
      <c r="F428" t="s">
        <v>24</v>
      </c>
      <c r="G428" t="s">
        <v>62</v>
      </c>
      <c r="H428">
        <v>2</v>
      </c>
      <c r="I428">
        <v>2902.63</v>
      </c>
      <c r="J428">
        <v>5805.26</v>
      </c>
      <c r="K428" t="s">
        <v>34</v>
      </c>
      <c r="L428">
        <v>5</v>
      </c>
      <c r="M428" t="s">
        <v>469</v>
      </c>
    </row>
    <row r="429" spans="1:13">
      <c r="A429">
        <v>10428</v>
      </c>
      <c r="B429">
        <v>3493</v>
      </c>
      <c r="C429">
        <v>43</v>
      </c>
      <c r="D429" t="s">
        <v>13</v>
      </c>
      <c r="E429" t="s">
        <v>36</v>
      </c>
      <c r="F429" t="s">
        <v>21</v>
      </c>
      <c r="G429" t="s">
        <v>28</v>
      </c>
      <c r="H429">
        <v>1</v>
      </c>
      <c r="I429">
        <v>4304.29</v>
      </c>
      <c r="J429">
        <v>4304.29</v>
      </c>
      <c r="K429" t="s">
        <v>22</v>
      </c>
      <c r="L429">
        <v>1</v>
      </c>
      <c r="M429" t="s">
        <v>470</v>
      </c>
    </row>
    <row r="430" spans="1:13">
      <c r="A430">
        <v>10429</v>
      </c>
      <c r="B430">
        <v>2272</v>
      </c>
      <c r="C430">
        <v>50</v>
      </c>
      <c r="D430" t="s">
        <v>13</v>
      </c>
      <c r="E430" t="s">
        <v>55</v>
      </c>
      <c r="F430" t="s">
        <v>31</v>
      </c>
      <c r="G430" t="s">
        <v>25</v>
      </c>
      <c r="H430">
        <v>5</v>
      </c>
      <c r="I430">
        <v>4036.35</v>
      </c>
      <c r="J430">
        <v>20181.75</v>
      </c>
      <c r="K430" t="s">
        <v>34</v>
      </c>
      <c r="L430">
        <v>5</v>
      </c>
      <c r="M430" t="s">
        <v>471</v>
      </c>
    </row>
    <row r="431" spans="1:13">
      <c r="A431">
        <v>10430</v>
      </c>
      <c r="B431">
        <v>4791</v>
      </c>
      <c r="C431">
        <v>58</v>
      </c>
      <c r="D431" t="s">
        <v>13</v>
      </c>
      <c r="E431" t="s">
        <v>43</v>
      </c>
      <c r="F431" t="s">
        <v>31</v>
      </c>
      <c r="G431" t="s">
        <v>41</v>
      </c>
      <c r="H431">
        <v>1</v>
      </c>
      <c r="I431">
        <v>3518.36</v>
      </c>
      <c r="J431">
        <v>3518.36</v>
      </c>
      <c r="K431" t="s">
        <v>26</v>
      </c>
      <c r="L431">
        <v>4</v>
      </c>
      <c r="M431" t="s">
        <v>472</v>
      </c>
    </row>
    <row r="432" spans="1:13">
      <c r="A432">
        <v>10431</v>
      </c>
      <c r="B432">
        <v>3693</v>
      </c>
      <c r="C432">
        <v>41</v>
      </c>
      <c r="D432" t="s">
        <v>19</v>
      </c>
      <c r="E432" t="s">
        <v>30</v>
      </c>
      <c r="F432" t="s">
        <v>50</v>
      </c>
      <c r="G432" t="s">
        <v>62</v>
      </c>
      <c r="H432">
        <v>2</v>
      </c>
      <c r="I432">
        <v>2330.9</v>
      </c>
      <c r="J432">
        <v>4661.8</v>
      </c>
      <c r="K432" t="s">
        <v>39</v>
      </c>
      <c r="L432">
        <v>1</v>
      </c>
      <c r="M432" t="s">
        <v>473</v>
      </c>
    </row>
    <row r="433" spans="1:13">
      <c r="A433">
        <v>10432</v>
      </c>
      <c r="B433">
        <v>2907</v>
      </c>
      <c r="C433">
        <v>43</v>
      </c>
      <c r="D433" t="s">
        <v>19</v>
      </c>
      <c r="E433" t="s">
        <v>55</v>
      </c>
      <c r="F433" t="s">
        <v>38</v>
      </c>
      <c r="G433" t="s">
        <v>62</v>
      </c>
      <c r="H433">
        <v>4</v>
      </c>
      <c r="I433">
        <v>3545.04</v>
      </c>
      <c r="J433">
        <v>14180.16</v>
      </c>
      <c r="K433" t="s">
        <v>17</v>
      </c>
      <c r="L433">
        <v>3</v>
      </c>
      <c r="M433" t="s">
        <v>474</v>
      </c>
    </row>
    <row r="434" spans="1:13">
      <c r="A434">
        <v>10433</v>
      </c>
      <c r="B434">
        <v>3469</v>
      </c>
      <c r="C434">
        <v>58</v>
      </c>
      <c r="D434" t="s">
        <v>19</v>
      </c>
      <c r="E434" t="s">
        <v>53</v>
      </c>
      <c r="F434" t="s">
        <v>24</v>
      </c>
      <c r="G434" t="s">
        <v>16</v>
      </c>
      <c r="H434">
        <v>4</v>
      </c>
      <c r="I434">
        <v>1315.32</v>
      </c>
      <c r="J434">
        <v>5261.28</v>
      </c>
      <c r="K434" t="s">
        <v>39</v>
      </c>
      <c r="L434">
        <v>2</v>
      </c>
      <c r="M434" t="s">
        <v>475</v>
      </c>
    </row>
    <row r="435" spans="1:13">
      <c r="A435">
        <v>10434</v>
      </c>
      <c r="B435">
        <v>3018</v>
      </c>
      <c r="C435">
        <v>42</v>
      </c>
      <c r="D435" t="s">
        <v>19</v>
      </c>
      <c r="E435" t="s">
        <v>55</v>
      </c>
      <c r="F435" t="s">
        <v>21</v>
      </c>
      <c r="G435" t="s">
        <v>69</v>
      </c>
      <c r="H435">
        <v>5</v>
      </c>
      <c r="I435">
        <v>1634.53</v>
      </c>
      <c r="J435">
        <v>8172.65</v>
      </c>
      <c r="K435" t="s">
        <v>39</v>
      </c>
      <c r="L435">
        <v>5</v>
      </c>
      <c r="M435" t="s">
        <v>476</v>
      </c>
    </row>
    <row r="436" spans="1:13">
      <c r="A436">
        <v>10435</v>
      </c>
      <c r="B436">
        <v>3806</v>
      </c>
      <c r="C436">
        <v>49</v>
      </c>
      <c r="D436" t="s">
        <v>19</v>
      </c>
      <c r="E436" t="s">
        <v>14</v>
      </c>
      <c r="F436" t="s">
        <v>15</v>
      </c>
      <c r="G436" t="s">
        <v>44</v>
      </c>
      <c r="H436">
        <v>1</v>
      </c>
      <c r="I436">
        <v>3955.76</v>
      </c>
      <c r="J436">
        <v>3955.76</v>
      </c>
      <c r="K436" t="s">
        <v>22</v>
      </c>
      <c r="L436">
        <v>1</v>
      </c>
      <c r="M436" t="s">
        <v>477</v>
      </c>
    </row>
    <row r="437" spans="1:13">
      <c r="A437">
        <v>10436</v>
      </c>
      <c r="B437">
        <v>4408</v>
      </c>
      <c r="C437">
        <v>46</v>
      </c>
      <c r="D437" t="s">
        <v>19</v>
      </c>
      <c r="E437" t="s">
        <v>53</v>
      </c>
      <c r="F437" t="s">
        <v>31</v>
      </c>
      <c r="G437" t="s">
        <v>60</v>
      </c>
      <c r="H437">
        <v>3</v>
      </c>
      <c r="I437">
        <v>4670.91</v>
      </c>
      <c r="J437">
        <v>14012.73</v>
      </c>
      <c r="K437" t="s">
        <v>17</v>
      </c>
      <c r="L437">
        <v>3</v>
      </c>
      <c r="M437" t="s">
        <v>478</v>
      </c>
    </row>
    <row r="438" spans="1:13">
      <c r="A438">
        <v>10437</v>
      </c>
      <c r="B438">
        <v>3160</v>
      </c>
      <c r="C438">
        <v>18</v>
      </c>
      <c r="D438" t="s">
        <v>13</v>
      </c>
      <c r="E438" t="s">
        <v>20</v>
      </c>
      <c r="F438" t="s">
        <v>24</v>
      </c>
      <c r="G438" t="s">
        <v>60</v>
      </c>
      <c r="H438">
        <v>3</v>
      </c>
      <c r="I438">
        <v>1193.23</v>
      </c>
      <c r="J438">
        <v>3579.69</v>
      </c>
      <c r="K438" t="s">
        <v>17</v>
      </c>
      <c r="L438">
        <v>3</v>
      </c>
      <c r="M438" t="s">
        <v>479</v>
      </c>
    </row>
    <row r="439" spans="1:13">
      <c r="A439">
        <v>10438</v>
      </c>
      <c r="B439">
        <v>4216</v>
      </c>
      <c r="C439">
        <v>40</v>
      </c>
      <c r="D439" t="s">
        <v>19</v>
      </c>
      <c r="E439" t="s">
        <v>53</v>
      </c>
      <c r="F439" t="s">
        <v>24</v>
      </c>
      <c r="G439" t="s">
        <v>62</v>
      </c>
      <c r="H439">
        <v>4</v>
      </c>
      <c r="I439">
        <v>1691.5</v>
      </c>
      <c r="J439">
        <v>6766</v>
      </c>
      <c r="K439" t="s">
        <v>22</v>
      </c>
      <c r="L439">
        <v>4</v>
      </c>
      <c r="M439" t="s">
        <v>480</v>
      </c>
    </row>
    <row r="440" spans="1:13">
      <c r="A440">
        <v>10439</v>
      </c>
      <c r="B440">
        <v>2944</v>
      </c>
      <c r="C440">
        <v>42</v>
      </c>
      <c r="D440" t="s">
        <v>13</v>
      </c>
      <c r="E440" t="s">
        <v>36</v>
      </c>
      <c r="F440" t="s">
        <v>24</v>
      </c>
      <c r="G440" t="s">
        <v>60</v>
      </c>
      <c r="H440">
        <v>3</v>
      </c>
      <c r="I440">
        <v>329.19</v>
      </c>
      <c r="J440">
        <v>987.57</v>
      </c>
      <c r="K440" t="s">
        <v>22</v>
      </c>
      <c r="L440">
        <v>3</v>
      </c>
      <c r="M440" t="s">
        <v>481</v>
      </c>
    </row>
    <row r="441" spans="1:13">
      <c r="A441">
        <v>10440</v>
      </c>
      <c r="B441">
        <v>3431</v>
      </c>
      <c r="C441">
        <v>40</v>
      </c>
      <c r="D441" t="s">
        <v>19</v>
      </c>
      <c r="E441" t="s">
        <v>20</v>
      </c>
      <c r="F441" t="s">
        <v>50</v>
      </c>
      <c r="G441" t="s">
        <v>69</v>
      </c>
      <c r="H441">
        <v>3</v>
      </c>
      <c r="I441">
        <v>2328.34</v>
      </c>
      <c r="J441">
        <v>6985.02</v>
      </c>
      <c r="K441" t="s">
        <v>39</v>
      </c>
      <c r="L441">
        <v>4</v>
      </c>
      <c r="M441" t="s">
        <v>482</v>
      </c>
    </row>
    <row r="442" spans="1:13">
      <c r="A442">
        <v>10441</v>
      </c>
      <c r="B442">
        <v>4498</v>
      </c>
      <c r="C442">
        <v>28</v>
      </c>
      <c r="D442" t="s">
        <v>13</v>
      </c>
      <c r="E442" t="s">
        <v>14</v>
      </c>
      <c r="F442" t="s">
        <v>21</v>
      </c>
      <c r="G442" t="s">
        <v>60</v>
      </c>
      <c r="H442">
        <v>1</v>
      </c>
      <c r="I442">
        <v>1288.3900000000001</v>
      </c>
      <c r="J442">
        <v>1288.3900000000001</v>
      </c>
      <c r="K442" t="s">
        <v>22</v>
      </c>
      <c r="L442">
        <v>2</v>
      </c>
      <c r="M442" t="s">
        <v>483</v>
      </c>
    </row>
    <row r="443" spans="1:13">
      <c r="A443">
        <v>10442</v>
      </c>
      <c r="B443">
        <v>2732</v>
      </c>
      <c r="C443">
        <v>49</v>
      </c>
      <c r="D443" t="s">
        <v>13</v>
      </c>
      <c r="E443" t="s">
        <v>55</v>
      </c>
      <c r="F443" t="s">
        <v>31</v>
      </c>
      <c r="G443" t="s">
        <v>44</v>
      </c>
      <c r="H443">
        <v>4</v>
      </c>
      <c r="I443">
        <v>3314.7</v>
      </c>
      <c r="J443">
        <v>13258.8</v>
      </c>
      <c r="K443" t="s">
        <v>34</v>
      </c>
      <c r="L443">
        <v>1</v>
      </c>
      <c r="M443" t="s">
        <v>484</v>
      </c>
    </row>
    <row r="444" spans="1:13">
      <c r="A444">
        <v>10443</v>
      </c>
      <c r="B444">
        <v>2704</v>
      </c>
      <c r="C444">
        <v>27</v>
      </c>
      <c r="D444" t="s">
        <v>19</v>
      </c>
      <c r="E444" t="s">
        <v>36</v>
      </c>
      <c r="F444" t="s">
        <v>50</v>
      </c>
      <c r="G444" t="s">
        <v>60</v>
      </c>
      <c r="H444">
        <v>4</v>
      </c>
      <c r="I444">
        <v>3635.07</v>
      </c>
      <c r="J444">
        <v>14540.28</v>
      </c>
      <c r="K444" t="s">
        <v>17</v>
      </c>
      <c r="L444">
        <v>1</v>
      </c>
      <c r="M444" t="s">
        <v>485</v>
      </c>
    </row>
    <row r="445" spans="1:13">
      <c r="A445">
        <v>10444</v>
      </c>
      <c r="B445">
        <v>4791</v>
      </c>
      <c r="C445">
        <v>57</v>
      </c>
      <c r="D445" t="s">
        <v>13</v>
      </c>
      <c r="E445" t="s">
        <v>30</v>
      </c>
      <c r="F445" t="s">
        <v>21</v>
      </c>
      <c r="G445" t="s">
        <v>32</v>
      </c>
      <c r="H445">
        <v>3</v>
      </c>
      <c r="I445">
        <v>858.26</v>
      </c>
      <c r="J445">
        <v>2574.7800000000002</v>
      </c>
      <c r="K445" t="s">
        <v>17</v>
      </c>
      <c r="L445">
        <v>3</v>
      </c>
      <c r="M445" t="s">
        <v>486</v>
      </c>
    </row>
    <row r="446" spans="1:13">
      <c r="A446">
        <v>10445</v>
      </c>
      <c r="B446">
        <v>2657</v>
      </c>
      <c r="C446">
        <v>24</v>
      </c>
      <c r="D446" t="s">
        <v>13</v>
      </c>
      <c r="E446" t="s">
        <v>43</v>
      </c>
      <c r="F446" t="s">
        <v>15</v>
      </c>
      <c r="G446" t="s">
        <v>56</v>
      </c>
      <c r="H446">
        <v>1</v>
      </c>
      <c r="I446">
        <v>686.08</v>
      </c>
      <c r="J446">
        <v>686.08</v>
      </c>
      <c r="K446" t="s">
        <v>17</v>
      </c>
      <c r="L446">
        <v>1</v>
      </c>
      <c r="M446" t="s">
        <v>487</v>
      </c>
    </row>
    <row r="447" spans="1:13">
      <c r="A447">
        <v>10446</v>
      </c>
      <c r="B447">
        <v>2762</v>
      </c>
      <c r="C447">
        <v>48</v>
      </c>
      <c r="D447" t="s">
        <v>19</v>
      </c>
      <c r="E447" t="s">
        <v>55</v>
      </c>
      <c r="F447" t="s">
        <v>38</v>
      </c>
      <c r="G447" t="s">
        <v>44</v>
      </c>
      <c r="H447">
        <v>4</v>
      </c>
      <c r="I447">
        <v>4559.7700000000004</v>
      </c>
      <c r="J447">
        <v>18239.080000000002</v>
      </c>
      <c r="K447" t="s">
        <v>34</v>
      </c>
      <c r="L447">
        <v>5</v>
      </c>
      <c r="M447" t="s">
        <v>488</v>
      </c>
    </row>
    <row r="448" spans="1:13">
      <c r="A448">
        <v>10447</v>
      </c>
      <c r="B448">
        <v>2417</v>
      </c>
      <c r="C448">
        <v>21</v>
      </c>
      <c r="D448" t="s">
        <v>13</v>
      </c>
      <c r="E448" t="s">
        <v>36</v>
      </c>
      <c r="F448" t="s">
        <v>24</v>
      </c>
      <c r="G448" t="s">
        <v>28</v>
      </c>
      <c r="H448">
        <v>5</v>
      </c>
      <c r="I448">
        <v>2129.42</v>
      </c>
      <c r="J448">
        <v>10647.1</v>
      </c>
      <c r="K448" t="s">
        <v>22</v>
      </c>
      <c r="L448">
        <v>3</v>
      </c>
      <c r="M448" t="s">
        <v>489</v>
      </c>
    </row>
    <row r="449" spans="1:13">
      <c r="A449">
        <v>10448</v>
      </c>
      <c r="B449">
        <v>2522</v>
      </c>
      <c r="C449">
        <v>36</v>
      </c>
      <c r="D449" t="s">
        <v>13</v>
      </c>
      <c r="E449" t="s">
        <v>30</v>
      </c>
      <c r="F449" t="s">
        <v>31</v>
      </c>
      <c r="G449" t="s">
        <v>25</v>
      </c>
      <c r="H449">
        <v>3</v>
      </c>
      <c r="I449">
        <v>2807</v>
      </c>
      <c r="J449">
        <v>8421</v>
      </c>
      <c r="K449" t="s">
        <v>22</v>
      </c>
      <c r="L449">
        <v>1</v>
      </c>
      <c r="M449" t="s">
        <v>490</v>
      </c>
    </row>
    <row r="450" spans="1:13">
      <c r="A450">
        <v>10449</v>
      </c>
      <c r="B450">
        <v>4025</v>
      </c>
      <c r="C450">
        <v>30</v>
      </c>
      <c r="D450" t="s">
        <v>13</v>
      </c>
      <c r="E450" t="s">
        <v>20</v>
      </c>
      <c r="F450" t="s">
        <v>15</v>
      </c>
      <c r="G450" t="s">
        <v>62</v>
      </c>
      <c r="H450">
        <v>1</v>
      </c>
      <c r="I450">
        <v>4827.24</v>
      </c>
      <c r="J450">
        <v>4827.24</v>
      </c>
      <c r="K450" t="s">
        <v>26</v>
      </c>
      <c r="L450">
        <v>2</v>
      </c>
      <c r="M450" t="s">
        <v>491</v>
      </c>
    </row>
    <row r="451" spans="1:13">
      <c r="A451">
        <v>10450</v>
      </c>
      <c r="B451">
        <v>2971</v>
      </c>
      <c r="C451">
        <v>27</v>
      </c>
      <c r="D451" t="s">
        <v>13</v>
      </c>
      <c r="E451" t="s">
        <v>43</v>
      </c>
      <c r="F451" t="s">
        <v>38</v>
      </c>
      <c r="G451" t="s">
        <v>44</v>
      </c>
      <c r="H451">
        <v>4</v>
      </c>
      <c r="I451">
        <v>3867.55</v>
      </c>
      <c r="J451">
        <v>15470.2</v>
      </c>
      <c r="K451" t="s">
        <v>34</v>
      </c>
      <c r="L451">
        <v>4</v>
      </c>
      <c r="M451" t="s">
        <v>492</v>
      </c>
    </row>
    <row r="452" spans="1:13">
      <c r="A452">
        <v>10451</v>
      </c>
      <c r="B452">
        <v>4949</v>
      </c>
      <c r="C452">
        <v>28</v>
      </c>
      <c r="D452" t="s">
        <v>13</v>
      </c>
      <c r="E452" t="s">
        <v>43</v>
      </c>
      <c r="F452" t="s">
        <v>50</v>
      </c>
      <c r="G452" t="s">
        <v>16</v>
      </c>
      <c r="H452">
        <v>4</v>
      </c>
      <c r="I452">
        <v>1830.04</v>
      </c>
      <c r="J452">
        <v>7320.16</v>
      </c>
      <c r="K452" t="s">
        <v>17</v>
      </c>
      <c r="L452">
        <v>2</v>
      </c>
      <c r="M452" t="s">
        <v>493</v>
      </c>
    </row>
    <row r="453" spans="1:13">
      <c r="A453">
        <v>10452</v>
      </c>
      <c r="B453">
        <v>4693</v>
      </c>
      <c r="C453">
        <v>45</v>
      </c>
      <c r="D453" t="s">
        <v>13</v>
      </c>
      <c r="E453" t="s">
        <v>30</v>
      </c>
      <c r="F453" t="s">
        <v>50</v>
      </c>
      <c r="G453" t="s">
        <v>69</v>
      </c>
      <c r="H453">
        <v>1</v>
      </c>
      <c r="I453">
        <v>703.49</v>
      </c>
      <c r="J453">
        <v>703.49</v>
      </c>
      <c r="K453" t="s">
        <v>26</v>
      </c>
      <c r="L453">
        <v>1</v>
      </c>
      <c r="M453" t="s">
        <v>494</v>
      </c>
    </row>
    <row r="454" spans="1:13">
      <c r="A454">
        <v>10453</v>
      </c>
      <c r="B454">
        <v>4937</v>
      </c>
      <c r="C454">
        <v>19</v>
      </c>
      <c r="D454" t="s">
        <v>19</v>
      </c>
      <c r="E454" t="s">
        <v>53</v>
      </c>
      <c r="F454" t="s">
        <v>15</v>
      </c>
      <c r="G454" t="s">
        <v>25</v>
      </c>
      <c r="H454">
        <v>5</v>
      </c>
      <c r="I454">
        <v>2819.31</v>
      </c>
      <c r="J454">
        <v>14096.55</v>
      </c>
      <c r="K454" t="s">
        <v>26</v>
      </c>
      <c r="L454">
        <v>1</v>
      </c>
      <c r="M454" t="s">
        <v>495</v>
      </c>
    </row>
    <row r="455" spans="1:13">
      <c r="A455">
        <v>10454</v>
      </c>
      <c r="B455">
        <v>2042</v>
      </c>
      <c r="C455">
        <v>39</v>
      </c>
      <c r="D455" t="s">
        <v>13</v>
      </c>
      <c r="E455" t="s">
        <v>20</v>
      </c>
      <c r="F455" t="s">
        <v>31</v>
      </c>
      <c r="G455" t="s">
        <v>28</v>
      </c>
      <c r="H455">
        <v>3</v>
      </c>
      <c r="I455">
        <v>1879.79</v>
      </c>
      <c r="J455">
        <v>5639.37</v>
      </c>
      <c r="K455" t="s">
        <v>34</v>
      </c>
      <c r="L455">
        <v>3</v>
      </c>
      <c r="M455" t="s">
        <v>496</v>
      </c>
    </row>
    <row r="456" spans="1:13">
      <c r="A456">
        <v>10455</v>
      </c>
      <c r="B456">
        <v>3622</v>
      </c>
      <c r="C456">
        <v>24</v>
      </c>
      <c r="D456" t="s">
        <v>13</v>
      </c>
      <c r="E456" t="s">
        <v>20</v>
      </c>
      <c r="F456" t="s">
        <v>38</v>
      </c>
      <c r="G456" t="s">
        <v>62</v>
      </c>
      <c r="H456">
        <v>4</v>
      </c>
      <c r="I456">
        <v>401.92</v>
      </c>
      <c r="J456">
        <v>1607.68</v>
      </c>
      <c r="K456" t="s">
        <v>34</v>
      </c>
      <c r="L456">
        <v>2</v>
      </c>
      <c r="M456" t="s">
        <v>497</v>
      </c>
    </row>
    <row r="457" spans="1:13">
      <c r="A457">
        <v>10456</v>
      </c>
      <c r="B457">
        <v>3849</v>
      </c>
      <c r="C457">
        <v>27</v>
      </c>
      <c r="D457" t="s">
        <v>19</v>
      </c>
      <c r="E457" t="s">
        <v>53</v>
      </c>
      <c r="F457" t="s">
        <v>50</v>
      </c>
      <c r="G457" t="s">
        <v>62</v>
      </c>
      <c r="H457">
        <v>3</v>
      </c>
      <c r="I457">
        <v>3924.42</v>
      </c>
      <c r="J457">
        <v>11773.26</v>
      </c>
      <c r="K457" t="s">
        <v>22</v>
      </c>
      <c r="L457">
        <v>4</v>
      </c>
      <c r="M457" t="s">
        <v>498</v>
      </c>
    </row>
    <row r="458" spans="1:13">
      <c r="A458">
        <v>10457</v>
      </c>
      <c r="B458">
        <v>2312</v>
      </c>
      <c r="C458">
        <v>54</v>
      </c>
      <c r="D458" t="s">
        <v>13</v>
      </c>
      <c r="E458" t="s">
        <v>55</v>
      </c>
      <c r="F458" t="s">
        <v>21</v>
      </c>
      <c r="G458" t="s">
        <v>25</v>
      </c>
      <c r="H458">
        <v>5</v>
      </c>
      <c r="I458">
        <v>2109.0700000000002</v>
      </c>
      <c r="J458">
        <v>10545.35</v>
      </c>
      <c r="K458" t="s">
        <v>26</v>
      </c>
      <c r="L458">
        <v>3</v>
      </c>
      <c r="M458" t="s">
        <v>499</v>
      </c>
    </row>
    <row r="459" spans="1:13">
      <c r="A459">
        <v>10458</v>
      </c>
      <c r="B459">
        <v>4638</v>
      </c>
      <c r="C459">
        <v>41</v>
      </c>
      <c r="D459" t="s">
        <v>19</v>
      </c>
      <c r="E459" t="s">
        <v>14</v>
      </c>
      <c r="F459" t="s">
        <v>50</v>
      </c>
      <c r="G459" t="s">
        <v>62</v>
      </c>
      <c r="H459">
        <v>5</v>
      </c>
      <c r="I459">
        <v>2985.21</v>
      </c>
      <c r="J459">
        <v>14926.05</v>
      </c>
      <c r="K459" t="s">
        <v>17</v>
      </c>
      <c r="L459">
        <v>3</v>
      </c>
      <c r="M459" t="s">
        <v>500</v>
      </c>
    </row>
    <row r="460" spans="1:13">
      <c r="A460">
        <v>10459</v>
      </c>
      <c r="B460">
        <v>2373</v>
      </c>
      <c r="C460">
        <v>26</v>
      </c>
      <c r="D460" t="s">
        <v>13</v>
      </c>
      <c r="E460" t="s">
        <v>55</v>
      </c>
      <c r="F460" t="s">
        <v>21</v>
      </c>
      <c r="G460" t="s">
        <v>69</v>
      </c>
      <c r="H460">
        <v>2</v>
      </c>
      <c r="I460">
        <v>3851.99</v>
      </c>
      <c r="J460">
        <v>7703.98</v>
      </c>
      <c r="K460" t="s">
        <v>26</v>
      </c>
      <c r="L460">
        <v>4</v>
      </c>
      <c r="M460" t="s">
        <v>501</v>
      </c>
    </row>
    <row r="461" spans="1:13">
      <c r="A461">
        <v>10460</v>
      </c>
      <c r="B461">
        <v>2721</v>
      </c>
      <c r="C461">
        <v>41</v>
      </c>
      <c r="D461" t="s">
        <v>13</v>
      </c>
      <c r="E461" t="s">
        <v>14</v>
      </c>
      <c r="F461" t="s">
        <v>24</v>
      </c>
      <c r="G461" t="s">
        <v>69</v>
      </c>
      <c r="H461">
        <v>3</v>
      </c>
      <c r="I461">
        <v>4721.9799999999996</v>
      </c>
      <c r="J461">
        <v>14165.94</v>
      </c>
      <c r="K461" t="s">
        <v>34</v>
      </c>
      <c r="L461">
        <v>3</v>
      </c>
      <c r="M461" t="s">
        <v>502</v>
      </c>
    </row>
    <row r="462" spans="1:13">
      <c r="A462">
        <v>10461</v>
      </c>
      <c r="B462">
        <v>3840</v>
      </c>
      <c r="C462">
        <v>36</v>
      </c>
      <c r="D462" t="s">
        <v>19</v>
      </c>
      <c r="E462" t="s">
        <v>30</v>
      </c>
      <c r="F462" t="s">
        <v>15</v>
      </c>
      <c r="G462" t="s">
        <v>44</v>
      </c>
      <c r="H462">
        <v>3</v>
      </c>
      <c r="I462">
        <v>3177.91</v>
      </c>
      <c r="J462">
        <v>9533.73</v>
      </c>
      <c r="K462" t="s">
        <v>39</v>
      </c>
      <c r="L462">
        <v>1</v>
      </c>
      <c r="M462" t="s">
        <v>503</v>
      </c>
    </row>
    <row r="463" spans="1:13">
      <c r="A463">
        <v>10462</v>
      </c>
      <c r="B463">
        <v>4549</v>
      </c>
      <c r="C463">
        <v>39</v>
      </c>
      <c r="D463" t="s">
        <v>19</v>
      </c>
      <c r="E463" t="s">
        <v>36</v>
      </c>
      <c r="F463" t="s">
        <v>24</v>
      </c>
      <c r="G463" t="s">
        <v>32</v>
      </c>
      <c r="H463">
        <v>4</v>
      </c>
      <c r="I463">
        <v>1782.36</v>
      </c>
      <c r="J463">
        <v>7129.44</v>
      </c>
      <c r="K463" t="s">
        <v>17</v>
      </c>
      <c r="L463">
        <v>5</v>
      </c>
      <c r="M463" t="s">
        <v>504</v>
      </c>
    </row>
    <row r="464" spans="1:13">
      <c r="A464">
        <v>10463</v>
      </c>
      <c r="B464">
        <v>4835</v>
      </c>
      <c r="C464">
        <v>21</v>
      </c>
      <c r="D464" t="s">
        <v>19</v>
      </c>
      <c r="E464" t="s">
        <v>43</v>
      </c>
      <c r="F464" t="s">
        <v>50</v>
      </c>
      <c r="G464" t="s">
        <v>16</v>
      </c>
      <c r="H464">
        <v>1</v>
      </c>
      <c r="I464">
        <v>817.36</v>
      </c>
      <c r="J464">
        <v>817.36</v>
      </c>
      <c r="K464" t="s">
        <v>17</v>
      </c>
      <c r="L464">
        <v>1</v>
      </c>
      <c r="M464" t="s">
        <v>505</v>
      </c>
    </row>
    <row r="465" spans="1:13">
      <c r="A465">
        <v>10464</v>
      </c>
      <c r="B465">
        <v>3420</v>
      </c>
      <c r="C465">
        <v>32</v>
      </c>
      <c r="D465" t="s">
        <v>13</v>
      </c>
      <c r="E465" t="s">
        <v>53</v>
      </c>
      <c r="F465" t="s">
        <v>50</v>
      </c>
      <c r="G465" t="s">
        <v>60</v>
      </c>
      <c r="H465">
        <v>4</v>
      </c>
      <c r="I465">
        <v>647.41999999999996</v>
      </c>
      <c r="J465">
        <v>2589.6799999999998</v>
      </c>
      <c r="K465" t="s">
        <v>39</v>
      </c>
      <c r="L465">
        <v>2</v>
      </c>
      <c r="M465" t="s">
        <v>506</v>
      </c>
    </row>
    <row r="466" spans="1:13">
      <c r="A466">
        <v>10465</v>
      </c>
      <c r="B466">
        <v>2153</v>
      </c>
      <c r="C466">
        <v>38</v>
      </c>
      <c r="D466" t="s">
        <v>19</v>
      </c>
      <c r="E466" t="s">
        <v>53</v>
      </c>
      <c r="F466" t="s">
        <v>24</v>
      </c>
      <c r="G466" t="s">
        <v>60</v>
      </c>
      <c r="H466">
        <v>2</v>
      </c>
      <c r="I466">
        <v>1802.55</v>
      </c>
      <c r="J466">
        <v>3605.1</v>
      </c>
      <c r="K466" t="s">
        <v>34</v>
      </c>
      <c r="L466">
        <v>1</v>
      </c>
      <c r="M466" t="s">
        <v>507</v>
      </c>
    </row>
    <row r="467" spans="1:13">
      <c r="A467">
        <v>10466</v>
      </c>
      <c r="B467">
        <v>2333</v>
      </c>
      <c r="C467">
        <v>39</v>
      </c>
      <c r="D467" t="s">
        <v>19</v>
      </c>
      <c r="E467" t="s">
        <v>20</v>
      </c>
      <c r="F467" t="s">
        <v>31</v>
      </c>
      <c r="G467" t="s">
        <v>44</v>
      </c>
      <c r="H467">
        <v>3</v>
      </c>
      <c r="I467">
        <v>3405.94</v>
      </c>
      <c r="J467">
        <v>10217.82</v>
      </c>
      <c r="K467" t="s">
        <v>22</v>
      </c>
      <c r="L467">
        <v>3</v>
      </c>
      <c r="M467" t="s">
        <v>508</v>
      </c>
    </row>
    <row r="468" spans="1:13">
      <c r="A468">
        <v>10467</v>
      </c>
      <c r="B468">
        <v>4832</v>
      </c>
      <c r="C468">
        <v>27</v>
      </c>
      <c r="D468" t="s">
        <v>19</v>
      </c>
      <c r="E468" t="s">
        <v>14</v>
      </c>
      <c r="F468" t="s">
        <v>50</v>
      </c>
      <c r="G468" t="s">
        <v>44</v>
      </c>
      <c r="H468">
        <v>1</v>
      </c>
      <c r="I468">
        <v>3567.21</v>
      </c>
      <c r="J468">
        <v>3567.21</v>
      </c>
      <c r="K468" t="s">
        <v>34</v>
      </c>
      <c r="L468">
        <v>5</v>
      </c>
      <c r="M468" t="s">
        <v>509</v>
      </c>
    </row>
    <row r="469" spans="1:13">
      <c r="A469">
        <v>10468</v>
      </c>
      <c r="B469">
        <v>3284</v>
      </c>
      <c r="C469">
        <v>20</v>
      </c>
      <c r="D469" t="s">
        <v>13</v>
      </c>
      <c r="E469" t="s">
        <v>43</v>
      </c>
      <c r="F469" t="s">
        <v>31</v>
      </c>
      <c r="G469" t="s">
        <v>44</v>
      </c>
      <c r="H469">
        <v>2</v>
      </c>
      <c r="I469">
        <v>1276.27</v>
      </c>
      <c r="J469">
        <v>2552.54</v>
      </c>
      <c r="K469" t="s">
        <v>22</v>
      </c>
      <c r="L469">
        <v>3</v>
      </c>
      <c r="M469" t="s">
        <v>510</v>
      </c>
    </row>
    <row r="470" spans="1:13">
      <c r="A470">
        <v>10469</v>
      </c>
      <c r="B470">
        <v>2886</v>
      </c>
      <c r="C470">
        <v>38</v>
      </c>
      <c r="D470" t="s">
        <v>13</v>
      </c>
      <c r="E470" t="s">
        <v>53</v>
      </c>
      <c r="F470" t="s">
        <v>24</v>
      </c>
      <c r="G470" t="s">
        <v>69</v>
      </c>
      <c r="H470">
        <v>3</v>
      </c>
      <c r="I470">
        <v>689.14</v>
      </c>
      <c r="J470">
        <v>2067.42</v>
      </c>
      <c r="K470" t="s">
        <v>34</v>
      </c>
      <c r="L470">
        <v>1</v>
      </c>
      <c r="M470" t="s">
        <v>511</v>
      </c>
    </row>
    <row r="471" spans="1:13">
      <c r="A471">
        <v>10470</v>
      </c>
      <c r="B471">
        <v>2667</v>
      </c>
      <c r="C471">
        <v>34</v>
      </c>
      <c r="D471" t="s">
        <v>13</v>
      </c>
      <c r="E471" t="s">
        <v>53</v>
      </c>
      <c r="F471" t="s">
        <v>31</v>
      </c>
      <c r="G471" t="s">
        <v>25</v>
      </c>
      <c r="H471">
        <v>3</v>
      </c>
      <c r="I471">
        <v>1735.9</v>
      </c>
      <c r="J471">
        <v>5207.7</v>
      </c>
      <c r="K471" t="s">
        <v>22</v>
      </c>
      <c r="L471">
        <v>5</v>
      </c>
      <c r="M471" t="s">
        <v>512</v>
      </c>
    </row>
    <row r="472" spans="1:13">
      <c r="A472">
        <v>10471</v>
      </c>
      <c r="B472">
        <v>4994</v>
      </c>
      <c r="C472">
        <v>31</v>
      </c>
      <c r="D472" t="s">
        <v>19</v>
      </c>
      <c r="E472" t="s">
        <v>36</v>
      </c>
      <c r="F472" t="s">
        <v>38</v>
      </c>
      <c r="G472" t="s">
        <v>25</v>
      </c>
      <c r="H472">
        <v>1</v>
      </c>
      <c r="I472">
        <v>2873.6</v>
      </c>
      <c r="J472">
        <v>2873.6</v>
      </c>
      <c r="K472" t="s">
        <v>22</v>
      </c>
      <c r="L472">
        <v>1</v>
      </c>
      <c r="M472" t="s">
        <v>513</v>
      </c>
    </row>
    <row r="473" spans="1:13">
      <c r="A473">
        <v>10472</v>
      </c>
      <c r="B473">
        <v>4884</v>
      </c>
      <c r="C473">
        <v>53</v>
      </c>
      <c r="D473" t="s">
        <v>13</v>
      </c>
      <c r="E473" t="s">
        <v>55</v>
      </c>
      <c r="F473" t="s">
        <v>31</v>
      </c>
      <c r="G473" t="s">
        <v>60</v>
      </c>
      <c r="H473">
        <v>1</v>
      </c>
      <c r="I473">
        <v>3846.95</v>
      </c>
      <c r="J473">
        <v>3846.95</v>
      </c>
      <c r="K473" t="s">
        <v>34</v>
      </c>
      <c r="L473">
        <v>1</v>
      </c>
      <c r="M473" t="s">
        <v>514</v>
      </c>
    </row>
    <row r="474" spans="1:13">
      <c r="A474">
        <v>10473</v>
      </c>
      <c r="B474">
        <v>3667</v>
      </c>
      <c r="C474">
        <v>29</v>
      </c>
      <c r="D474" t="s">
        <v>19</v>
      </c>
      <c r="E474" t="s">
        <v>43</v>
      </c>
      <c r="F474" t="s">
        <v>15</v>
      </c>
      <c r="G474" t="s">
        <v>69</v>
      </c>
      <c r="H474">
        <v>1</v>
      </c>
      <c r="I474">
        <v>2789.39</v>
      </c>
      <c r="J474">
        <v>2789.39</v>
      </c>
      <c r="K474" t="s">
        <v>26</v>
      </c>
      <c r="L474">
        <v>3</v>
      </c>
      <c r="M474" t="s">
        <v>515</v>
      </c>
    </row>
    <row r="475" spans="1:13">
      <c r="A475">
        <v>10474</v>
      </c>
      <c r="B475">
        <v>3722</v>
      </c>
      <c r="C475">
        <v>46</v>
      </c>
      <c r="D475" t="s">
        <v>19</v>
      </c>
      <c r="E475" t="s">
        <v>43</v>
      </c>
      <c r="F475" t="s">
        <v>50</v>
      </c>
      <c r="G475" t="s">
        <v>56</v>
      </c>
      <c r="H475">
        <v>3</v>
      </c>
      <c r="I475">
        <v>1648.82</v>
      </c>
      <c r="J475">
        <v>4946.46</v>
      </c>
      <c r="K475" t="s">
        <v>22</v>
      </c>
      <c r="L475">
        <v>3</v>
      </c>
      <c r="M475" t="s">
        <v>516</v>
      </c>
    </row>
    <row r="476" spans="1:13">
      <c r="A476">
        <v>10475</v>
      </c>
      <c r="B476">
        <v>3154</v>
      </c>
      <c r="C476">
        <v>39</v>
      </c>
      <c r="D476" t="s">
        <v>13</v>
      </c>
      <c r="E476" t="s">
        <v>30</v>
      </c>
      <c r="F476" t="s">
        <v>21</v>
      </c>
      <c r="G476" t="s">
        <v>25</v>
      </c>
      <c r="H476">
        <v>4</v>
      </c>
      <c r="I476">
        <v>3233.64</v>
      </c>
      <c r="J476">
        <v>12934.56</v>
      </c>
      <c r="K476" t="s">
        <v>17</v>
      </c>
      <c r="L476">
        <v>4</v>
      </c>
      <c r="M476" t="s">
        <v>517</v>
      </c>
    </row>
    <row r="477" spans="1:13">
      <c r="A477">
        <v>10476</v>
      </c>
      <c r="B477">
        <v>4892</v>
      </c>
      <c r="C477">
        <v>52</v>
      </c>
      <c r="D477" t="s">
        <v>13</v>
      </c>
      <c r="E477" t="s">
        <v>43</v>
      </c>
      <c r="F477" t="s">
        <v>38</v>
      </c>
      <c r="G477" t="s">
        <v>28</v>
      </c>
      <c r="H477">
        <v>4</v>
      </c>
      <c r="I477">
        <v>1544.73</v>
      </c>
      <c r="J477">
        <v>6178.92</v>
      </c>
      <c r="K477" t="s">
        <v>26</v>
      </c>
      <c r="L477">
        <v>1</v>
      </c>
      <c r="M477" t="s">
        <v>518</v>
      </c>
    </row>
    <row r="478" spans="1:13">
      <c r="A478">
        <v>10477</v>
      </c>
      <c r="B478">
        <v>4400</v>
      </c>
      <c r="C478">
        <v>46</v>
      </c>
      <c r="D478" t="s">
        <v>13</v>
      </c>
      <c r="E478" t="s">
        <v>36</v>
      </c>
      <c r="F478" t="s">
        <v>50</v>
      </c>
      <c r="G478" t="s">
        <v>32</v>
      </c>
      <c r="H478">
        <v>5</v>
      </c>
      <c r="I478">
        <v>3367.66</v>
      </c>
      <c r="J478">
        <v>16838.3</v>
      </c>
      <c r="K478" t="s">
        <v>26</v>
      </c>
      <c r="L478">
        <v>3</v>
      </c>
      <c r="M478" t="s">
        <v>519</v>
      </c>
    </row>
    <row r="479" spans="1:13">
      <c r="A479">
        <v>10478</v>
      </c>
      <c r="B479">
        <v>3888</v>
      </c>
      <c r="C479">
        <v>36</v>
      </c>
      <c r="D479" t="s">
        <v>13</v>
      </c>
      <c r="E479" t="s">
        <v>36</v>
      </c>
      <c r="F479" t="s">
        <v>24</v>
      </c>
      <c r="G479" t="s">
        <v>28</v>
      </c>
      <c r="H479">
        <v>3</v>
      </c>
      <c r="I479">
        <v>4256.92</v>
      </c>
      <c r="J479">
        <v>12770.76</v>
      </c>
      <c r="K479" t="s">
        <v>22</v>
      </c>
      <c r="L479">
        <v>4</v>
      </c>
      <c r="M479" t="s">
        <v>520</v>
      </c>
    </row>
    <row r="480" spans="1:13">
      <c r="A480">
        <v>10479</v>
      </c>
      <c r="B480">
        <v>3423</v>
      </c>
      <c r="C480">
        <v>26</v>
      </c>
      <c r="D480" t="s">
        <v>19</v>
      </c>
      <c r="E480" t="s">
        <v>30</v>
      </c>
      <c r="F480" t="s">
        <v>50</v>
      </c>
      <c r="G480" t="s">
        <v>60</v>
      </c>
      <c r="H480">
        <v>1</v>
      </c>
      <c r="I480">
        <v>3303.05</v>
      </c>
      <c r="J480">
        <v>3303.05</v>
      </c>
      <c r="K480" t="s">
        <v>26</v>
      </c>
      <c r="L480">
        <v>5</v>
      </c>
      <c r="M480" t="s">
        <v>521</v>
      </c>
    </row>
    <row r="481" spans="1:13">
      <c r="A481">
        <v>10480</v>
      </c>
      <c r="B481">
        <v>2356</v>
      </c>
      <c r="C481">
        <v>48</v>
      </c>
      <c r="D481" t="s">
        <v>13</v>
      </c>
      <c r="E481" t="s">
        <v>14</v>
      </c>
      <c r="F481" t="s">
        <v>21</v>
      </c>
      <c r="G481" t="s">
        <v>60</v>
      </c>
      <c r="H481">
        <v>3</v>
      </c>
      <c r="I481">
        <v>2958.47</v>
      </c>
      <c r="J481">
        <v>8875.41</v>
      </c>
      <c r="K481" t="s">
        <v>26</v>
      </c>
      <c r="L481">
        <v>1</v>
      </c>
      <c r="M481" t="s">
        <v>522</v>
      </c>
    </row>
    <row r="482" spans="1:13">
      <c r="A482">
        <v>10481</v>
      </c>
      <c r="B482">
        <v>2506</v>
      </c>
      <c r="C482">
        <v>18</v>
      </c>
      <c r="D482" t="s">
        <v>13</v>
      </c>
      <c r="E482" t="s">
        <v>30</v>
      </c>
      <c r="F482" t="s">
        <v>50</v>
      </c>
      <c r="G482" t="s">
        <v>16</v>
      </c>
      <c r="H482">
        <v>4</v>
      </c>
      <c r="I482">
        <v>1743.57</v>
      </c>
      <c r="J482">
        <v>6974.28</v>
      </c>
      <c r="K482" t="s">
        <v>22</v>
      </c>
      <c r="L482">
        <v>1</v>
      </c>
      <c r="M482" t="s">
        <v>523</v>
      </c>
    </row>
    <row r="483" spans="1:13">
      <c r="A483">
        <v>10482</v>
      </c>
      <c r="B483">
        <v>2908</v>
      </c>
      <c r="C483">
        <v>31</v>
      </c>
      <c r="D483" t="s">
        <v>13</v>
      </c>
      <c r="E483" t="s">
        <v>55</v>
      </c>
      <c r="F483" t="s">
        <v>24</v>
      </c>
      <c r="G483" t="s">
        <v>41</v>
      </c>
      <c r="H483">
        <v>4</v>
      </c>
      <c r="I483">
        <v>4420.8500000000004</v>
      </c>
      <c r="J483">
        <v>17683.400000000001</v>
      </c>
      <c r="K483" t="s">
        <v>39</v>
      </c>
      <c r="L483">
        <v>1</v>
      </c>
      <c r="M483" t="s">
        <v>524</v>
      </c>
    </row>
    <row r="484" spans="1:13">
      <c r="A484">
        <v>10483</v>
      </c>
      <c r="B484">
        <v>4962</v>
      </c>
      <c r="C484">
        <v>36</v>
      </c>
      <c r="D484" t="s">
        <v>19</v>
      </c>
      <c r="E484" t="s">
        <v>30</v>
      </c>
      <c r="F484" t="s">
        <v>21</v>
      </c>
      <c r="G484" t="s">
        <v>41</v>
      </c>
      <c r="H484">
        <v>2</v>
      </c>
      <c r="I484">
        <v>4947.46</v>
      </c>
      <c r="J484">
        <v>9894.92</v>
      </c>
      <c r="K484" t="s">
        <v>22</v>
      </c>
      <c r="L484">
        <v>5</v>
      </c>
      <c r="M484" t="s">
        <v>525</v>
      </c>
    </row>
    <row r="485" spans="1:13">
      <c r="A485">
        <v>10484</v>
      </c>
      <c r="B485">
        <v>3182</v>
      </c>
      <c r="C485">
        <v>56</v>
      </c>
      <c r="D485" t="s">
        <v>19</v>
      </c>
      <c r="E485" t="s">
        <v>53</v>
      </c>
      <c r="F485" t="s">
        <v>31</v>
      </c>
      <c r="G485" t="s">
        <v>60</v>
      </c>
      <c r="H485">
        <v>4</v>
      </c>
      <c r="I485">
        <v>3954.15</v>
      </c>
      <c r="J485">
        <v>15816.6</v>
      </c>
      <c r="K485" t="s">
        <v>39</v>
      </c>
      <c r="L485">
        <v>4</v>
      </c>
      <c r="M485" t="s">
        <v>526</v>
      </c>
    </row>
    <row r="486" spans="1:13">
      <c r="A486">
        <v>10485</v>
      </c>
      <c r="B486">
        <v>2144</v>
      </c>
      <c r="C486">
        <v>29</v>
      </c>
      <c r="D486" t="s">
        <v>13</v>
      </c>
      <c r="E486" t="s">
        <v>14</v>
      </c>
      <c r="F486" t="s">
        <v>24</v>
      </c>
      <c r="G486" t="s">
        <v>62</v>
      </c>
      <c r="H486">
        <v>5</v>
      </c>
      <c r="I486">
        <v>2996.13</v>
      </c>
      <c r="J486">
        <v>14980.65</v>
      </c>
      <c r="K486" t="s">
        <v>22</v>
      </c>
      <c r="L486">
        <v>5</v>
      </c>
      <c r="M486" t="s">
        <v>527</v>
      </c>
    </row>
    <row r="487" spans="1:13">
      <c r="A487">
        <v>10486</v>
      </c>
      <c r="B487">
        <v>3887</v>
      </c>
      <c r="C487">
        <v>37</v>
      </c>
      <c r="D487" t="s">
        <v>13</v>
      </c>
      <c r="E487" t="s">
        <v>14</v>
      </c>
      <c r="F487" t="s">
        <v>21</v>
      </c>
      <c r="G487" t="s">
        <v>28</v>
      </c>
      <c r="H487">
        <v>2</v>
      </c>
      <c r="I487">
        <v>964.01</v>
      </c>
      <c r="J487">
        <v>1928.02</v>
      </c>
      <c r="K487" t="s">
        <v>26</v>
      </c>
      <c r="L487">
        <v>3</v>
      </c>
      <c r="M487" t="s">
        <v>528</v>
      </c>
    </row>
    <row r="488" spans="1:13">
      <c r="A488">
        <v>10487</v>
      </c>
      <c r="B488">
        <v>3632</v>
      </c>
      <c r="C488">
        <v>30</v>
      </c>
      <c r="D488" t="s">
        <v>19</v>
      </c>
      <c r="E488" t="s">
        <v>36</v>
      </c>
      <c r="F488" t="s">
        <v>15</v>
      </c>
      <c r="G488" t="s">
        <v>44</v>
      </c>
      <c r="H488">
        <v>1</v>
      </c>
      <c r="I488">
        <v>1780.17</v>
      </c>
      <c r="J488">
        <v>1780.17</v>
      </c>
      <c r="K488" t="s">
        <v>17</v>
      </c>
      <c r="L488">
        <v>2</v>
      </c>
      <c r="M488" t="s">
        <v>529</v>
      </c>
    </row>
    <row r="489" spans="1:13">
      <c r="A489">
        <v>10488</v>
      </c>
      <c r="B489">
        <v>2956</v>
      </c>
      <c r="C489">
        <v>22</v>
      </c>
      <c r="D489" t="s">
        <v>13</v>
      </c>
      <c r="E489" t="s">
        <v>30</v>
      </c>
      <c r="F489" t="s">
        <v>31</v>
      </c>
      <c r="G489" t="s">
        <v>16</v>
      </c>
      <c r="H489">
        <v>5</v>
      </c>
      <c r="I489">
        <v>2024.24</v>
      </c>
      <c r="J489">
        <v>10121.200000000001</v>
      </c>
      <c r="K489" t="s">
        <v>22</v>
      </c>
      <c r="L489">
        <v>3</v>
      </c>
      <c r="M489" t="s">
        <v>530</v>
      </c>
    </row>
    <row r="490" spans="1:13">
      <c r="A490">
        <v>10489</v>
      </c>
      <c r="B490">
        <v>4335</v>
      </c>
      <c r="C490">
        <v>43</v>
      </c>
      <c r="D490" t="s">
        <v>13</v>
      </c>
      <c r="E490" t="s">
        <v>30</v>
      </c>
      <c r="F490" t="s">
        <v>31</v>
      </c>
      <c r="G490" t="s">
        <v>62</v>
      </c>
      <c r="H490">
        <v>5</v>
      </c>
      <c r="I490">
        <v>1671.91</v>
      </c>
      <c r="J490">
        <v>8359.5499999999993</v>
      </c>
      <c r="K490" t="s">
        <v>26</v>
      </c>
      <c r="L490">
        <v>2</v>
      </c>
      <c r="M490" t="s">
        <v>531</v>
      </c>
    </row>
    <row r="491" spans="1:13">
      <c r="A491">
        <v>10490</v>
      </c>
      <c r="B491">
        <v>3771</v>
      </c>
      <c r="C491">
        <v>58</v>
      </c>
      <c r="D491" t="s">
        <v>13</v>
      </c>
      <c r="E491" t="s">
        <v>14</v>
      </c>
      <c r="F491" t="s">
        <v>15</v>
      </c>
      <c r="G491" t="s">
        <v>62</v>
      </c>
      <c r="H491">
        <v>3</v>
      </c>
      <c r="I491">
        <v>2395.98</v>
      </c>
      <c r="J491">
        <v>7187.94</v>
      </c>
      <c r="K491" t="s">
        <v>26</v>
      </c>
      <c r="L491">
        <v>4</v>
      </c>
      <c r="M491" t="s">
        <v>532</v>
      </c>
    </row>
    <row r="492" spans="1:13">
      <c r="A492">
        <v>10491</v>
      </c>
      <c r="B492">
        <v>2611</v>
      </c>
      <c r="C492">
        <v>53</v>
      </c>
      <c r="D492" t="s">
        <v>19</v>
      </c>
      <c r="E492" t="s">
        <v>20</v>
      </c>
      <c r="F492" t="s">
        <v>38</v>
      </c>
      <c r="G492" t="s">
        <v>28</v>
      </c>
      <c r="H492">
        <v>4</v>
      </c>
      <c r="I492">
        <v>3169.97</v>
      </c>
      <c r="J492">
        <v>12679.88</v>
      </c>
      <c r="K492" t="s">
        <v>22</v>
      </c>
      <c r="L492">
        <v>3</v>
      </c>
      <c r="M492" t="s">
        <v>533</v>
      </c>
    </row>
    <row r="493" spans="1:13">
      <c r="A493">
        <v>10492</v>
      </c>
      <c r="B493">
        <v>3324</v>
      </c>
      <c r="C493">
        <v>23</v>
      </c>
      <c r="D493" t="s">
        <v>19</v>
      </c>
      <c r="E493" t="s">
        <v>43</v>
      </c>
      <c r="F493" t="s">
        <v>21</v>
      </c>
      <c r="G493" t="s">
        <v>56</v>
      </c>
      <c r="H493">
        <v>2</v>
      </c>
      <c r="I493">
        <v>1300.7</v>
      </c>
      <c r="J493">
        <v>2601.4</v>
      </c>
      <c r="K493" t="s">
        <v>26</v>
      </c>
      <c r="L493">
        <v>3</v>
      </c>
      <c r="M493" t="s">
        <v>534</v>
      </c>
    </row>
    <row r="494" spans="1:13">
      <c r="A494">
        <v>10493</v>
      </c>
      <c r="B494">
        <v>4840</v>
      </c>
      <c r="C494">
        <v>49</v>
      </c>
      <c r="D494" t="s">
        <v>13</v>
      </c>
      <c r="E494" t="s">
        <v>36</v>
      </c>
      <c r="F494" t="s">
        <v>38</v>
      </c>
      <c r="G494" t="s">
        <v>41</v>
      </c>
      <c r="H494">
        <v>4</v>
      </c>
      <c r="I494">
        <v>1473.87</v>
      </c>
      <c r="J494">
        <v>5895.48</v>
      </c>
      <c r="K494" t="s">
        <v>26</v>
      </c>
      <c r="L494">
        <v>5</v>
      </c>
      <c r="M494" t="s">
        <v>535</v>
      </c>
    </row>
    <row r="495" spans="1:13">
      <c r="A495">
        <v>10494</v>
      </c>
      <c r="B495">
        <v>3871</v>
      </c>
      <c r="C495">
        <v>47</v>
      </c>
      <c r="D495" t="s">
        <v>19</v>
      </c>
      <c r="E495" t="s">
        <v>20</v>
      </c>
      <c r="F495" t="s">
        <v>15</v>
      </c>
      <c r="G495" t="s">
        <v>28</v>
      </c>
      <c r="H495">
        <v>2</v>
      </c>
      <c r="I495">
        <v>827.11</v>
      </c>
      <c r="J495">
        <v>1654.22</v>
      </c>
      <c r="K495" t="s">
        <v>39</v>
      </c>
      <c r="L495">
        <v>2</v>
      </c>
      <c r="M495" t="s">
        <v>536</v>
      </c>
    </row>
    <row r="496" spans="1:13">
      <c r="A496">
        <v>10495</v>
      </c>
      <c r="B496">
        <v>2915</v>
      </c>
      <c r="C496">
        <v>20</v>
      </c>
      <c r="D496" t="s">
        <v>19</v>
      </c>
      <c r="E496" t="s">
        <v>53</v>
      </c>
      <c r="F496" t="s">
        <v>31</v>
      </c>
      <c r="G496" t="s">
        <v>32</v>
      </c>
      <c r="H496">
        <v>1</v>
      </c>
      <c r="I496">
        <v>1745.67</v>
      </c>
      <c r="J496">
        <v>1745.67</v>
      </c>
      <c r="K496" t="s">
        <v>17</v>
      </c>
      <c r="L496">
        <v>5</v>
      </c>
      <c r="M496" t="s">
        <v>537</v>
      </c>
    </row>
    <row r="497" spans="1:13">
      <c r="A497">
        <v>10496</v>
      </c>
      <c r="B497">
        <v>4052</v>
      </c>
      <c r="C497">
        <v>50</v>
      </c>
      <c r="D497" t="s">
        <v>13</v>
      </c>
      <c r="E497" t="s">
        <v>53</v>
      </c>
      <c r="F497" t="s">
        <v>24</v>
      </c>
      <c r="G497" t="s">
        <v>25</v>
      </c>
      <c r="H497">
        <v>1</v>
      </c>
      <c r="I497">
        <v>2638.01</v>
      </c>
      <c r="J497">
        <v>2638.01</v>
      </c>
      <c r="K497" t="s">
        <v>26</v>
      </c>
      <c r="L497">
        <v>5</v>
      </c>
      <c r="M497" t="s">
        <v>538</v>
      </c>
    </row>
    <row r="498" spans="1:13">
      <c r="A498">
        <v>10497</v>
      </c>
      <c r="B498">
        <v>4599</v>
      </c>
      <c r="C498">
        <v>25</v>
      </c>
      <c r="D498" t="s">
        <v>19</v>
      </c>
      <c r="E498" t="s">
        <v>30</v>
      </c>
      <c r="F498" t="s">
        <v>21</v>
      </c>
      <c r="G498" t="s">
        <v>60</v>
      </c>
      <c r="H498">
        <v>3</v>
      </c>
      <c r="I498">
        <v>2602.1</v>
      </c>
      <c r="J498">
        <v>7806.3</v>
      </c>
      <c r="K498" t="s">
        <v>17</v>
      </c>
      <c r="L498">
        <v>5</v>
      </c>
      <c r="M498" t="s">
        <v>539</v>
      </c>
    </row>
    <row r="499" spans="1:13">
      <c r="A499">
        <v>10498</v>
      </c>
      <c r="B499">
        <v>4172</v>
      </c>
      <c r="C499">
        <v>47</v>
      </c>
      <c r="D499" t="s">
        <v>13</v>
      </c>
      <c r="E499" t="s">
        <v>20</v>
      </c>
      <c r="F499" t="s">
        <v>38</v>
      </c>
      <c r="G499" t="s">
        <v>41</v>
      </c>
      <c r="H499">
        <v>5</v>
      </c>
      <c r="I499">
        <v>4979.21</v>
      </c>
      <c r="J499">
        <v>24896.05</v>
      </c>
      <c r="K499" t="s">
        <v>22</v>
      </c>
      <c r="L499">
        <v>1</v>
      </c>
      <c r="M499" t="s">
        <v>540</v>
      </c>
    </row>
    <row r="500" spans="1:13">
      <c r="A500">
        <v>10499</v>
      </c>
      <c r="B500">
        <v>4210</v>
      </c>
      <c r="C500">
        <v>26</v>
      </c>
      <c r="D500" t="s">
        <v>19</v>
      </c>
      <c r="E500" t="s">
        <v>20</v>
      </c>
      <c r="F500" t="s">
        <v>31</v>
      </c>
      <c r="G500" t="s">
        <v>62</v>
      </c>
      <c r="H500">
        <v>3</v>
      </c>
      <c r="I500">
        <v>4911.21</v>
      </c>
      <c r="J500">
        <v>14733.63</v>
      </c>
      <c r="K500" t="s">
        <v>22</v>
      </c>
      <c r="L500">
        <v>5</v>
      </c>
      <c r="M500" t="s">
        <v>541</v>
      </c>
    </row>
    <row r="501" spans="1:13">
      <c r="A501">
        <v>10500</v>
      </c>
      <c r="B501">
        <v>2042</v>
      </c>
      <c r="C501">
        <v>45</v>
      </c>
      <c r="D501" t="s">
        <v>19</v>
      </c>
      <c r="E501" t="s">
        <v>43</v>
      </c>
      <c r="F501" t="s">
        <v>50</v>
      </c>
      <c r="G501" t="s">
        <v>56</v>
      </c>
      <c r="H501">
        <v>3</v>
      </c>
      <c r="I501">
        <v>2351.85</v>
      </c>
      <c r="J501">
        <v>7055.55</v>
      </c>
      <c r="K501" t="s">
        <v>26</v>
      </c>
      <c r="L501">
        <v>2</v>
      </c>
      <c r="M501" t="s">
        <v>542</v>
      </c>
    </row>
    <row r="502" spans="1:13">
      <c r="A502">
        <v>10501</v>
      </c>
      <c r="B502">
        <v>4770</v>
      </c>
      <c r="C502">
        <v>51</v>
      </c>
      <c r="D502" t="s">
        <v>19</v>
      </c>
      <c r="E502" t="s">
        <v>30</v>
      </c>
      <c r="F502" t="s">
        <v>24</v>
      </c>
      <c r="G502" t="s">
        <v>41</v>
      </c>
      <c r="H502">
        <v>4</v>
      </c>
      <c r="I502">
        <v>4868.5</v>
      </c>
      <c r="J502">
        <v>19474</v>
      </c>
      <c r="K502" t="s">
        <v>22</v>
      </c>
      <c r="L502">
        <v>2</v>
      </c>
      <c r="M502" t="s">
        <v>543</v>
      </c>
    </row>
    <row r="503" spans="1:13">
      <c r="A503">
        <v>10502</v>
      </c>
      <c r="B503">
        <v>2378</v>
      </c>
      <c r="C503">
        <v>47</v>
      </c>
      <c r="D503" t="s">
        <v>19</v>
      </c>
      <c r="E503" t="s">
        <v>36</v>
      </c>
      <c r="F503" t="s">
        <v>24</v>
      </c>
      <c r="G503" t="s">
        <v>25</v>
      </c>
      <c r="H503">
        <v>3</v>
      </c>
      <c r="I503">
        <v>1307.67</v>
      </c>
      <c r="J503">
        <v>3923.01</v>
      </c>
      <c r="K503" t="s">
        <v>22</v>
      </c>
      <c r="L503">
        <v>4</v>
      </c>
      <c r="M503" t="s">
        <v>544</v>
      </c>
    </row>
    <row r="504" spans="1:13">
      <c r="A504">
        <v>10503</v>
      </c>
      <c r="B504">
        <v>2122</v>
      </c>
      <c r="C504">
        <v>22</v>
      </c>
      <c r="D504" t="s">
        <v>19</v>
      </c>
      <c r="E504" t="s">
        <v>53</v>
      </c>
      <c r="F504" t="s">
        <v>50</v>
      </c>
      <c r="G504" t="s">
        <v>62</v>
      </c>
      <c r="H504">
        <v>4</v>
      </c>
      <c r="I504">
        <v>2843.27</v>
      </c>
      <c r="J504">
        <v>11373.08</v>
      </c>
      <c r="K504" t="s">
        <v>39</v>
      </c>
      <c r="L504">
        <v>3</v>
      </c>
      <c r="M504" t="s">
        <v>545</v>
      </c>
    </row>
    <row r="505" spans="1:13">
      <c r="A505">
        <v>10504</v>
      </c>
      <c r="B505">
        <v>3745</v>
      </c>
      <c r="C505">
        <v>56</v>
      </c>
      <c r="D505" t="s">
        <v>19</v>
      </c>
      <c r="E505" t="s">
        <v>14</v>
      </c>
      <c r="F505" t="s">
        <v>24</v>
      </c>
      <c r="G505" t="s">
        <v>69</v>
      </c>
      <c r="H505">
        <v>3</v>
      </c>
      <c r="I505">
        <v>2431.15</v>
      </c>
      <c r="J505">
        <v>7293.45</v>
      </c>
      <c r="K505" t="s">
        <v>22</v>
      </c>
      <c r="L505">
        <v>3</v>
      </c>
      <c r="M505" t="s">
        <v>546</v>
      </c>
    </row>
    <row r="506" spans="1:13">
      <c r="A506">
        <v>10505</v>
      </c>
      <c r="B506">
        <v>3530</v>
      </c>
      <c r="C506">
        <v>51</v>
      </c>
      <c r="D506" t="s">
        <v>13</v>
      </c>
      <c r="E506" t="s">
        <v>53</v>
      </c>
      <c r="F506" t="s">
        <v>38</v>
      </c>
      <c r="G506" t="s">
        <v>25</v>
      </c>
      <c r="H506">
        <v>2</v>
      </c>
      <c r="I506">
        <v>4847.76</v>
      </c>
      <c r="J506">
        <v>9695.52</v>
      </c>
      <c r="K506" t="s">
        <v>22</v>
      </c>
      <c r="L506">
        <v>4</v>
      </c>
      <c r="M506" t="s">
        <v>547</v>
      </c>
    </row>
    <row r="507" spans="1:13">
      <c r="A507">
        <v>10506</v>
      </c>
      <c r="B507">
        <v>4267</v>
      </c>
      <c r="C507">
        <v>27</v>
      </c>
      <c r="D507" t="s">
        <v>19</v>
      </c>
      <c r="E507" t="s">
        <v>43</v>
      </c>
      <c r="F507" t="s">
        <v>15</v>
      </c>
      <c r="G507" t="s">
        <v>56</v>
      </c>
      <c r="H507">
        <v>4</v>
      </c>
      <c r="I507">
        <v>4230.03</v>
      </c>
      <c r="J507">
        <v>16920.12</v>
      </c>
      <c r="K507" t="s">
        <v>26</v>
      </c>
      <c r="L507">
        <v>2</v>
      </c>
      <c r="M507" t="s">
        <v>548</v>
      </c>
    </row>
    <row r="508" spans="1:13">
      <c r="A508">
        <v>10507</v>
      </c>
      <c r="B508">
        <v>4549</v>
      </c>
      <c r="C508">
        <v>21</v>
      </c>
      <c r="D508" t="s">
        <v>19</v>
      </c>
      <c r="E508" t="s">
        <v>30</v>
      </c>
      <c r="F508" t="s">
        <v>24</v>
      </c>
      <c r="G508" t="s">
        <v>25</v>
      </c>
      <c r="H508">
        <v>4</v>
      </c>
      <c r="I508">
        <v>1306.49</v>
      </c>
      <c r="J508">
        <v>5225.96</v>
      </c>
      <c r="K508" t="s">
        <v>17</v>
      </c>
      <c r="L508">
        <v>4</v>
      </c>
      <c r="M508" t="s">
        <v>549</v>
      </c>
    </row>
    <row r="509" spans="1:13">
      <c r="A509">
        <v>10508</v>
      </c>
      <c r="B509">
        <v>2296</v>
      </c>
      <c r="C509">
        <v>32</v>
      </c>
      <c r="D509" t="s">
        <v>13</v>
      </c>
      <c r="E509" t="s">
        <v>55</v>
      </c>
      <c r="F509" t="s">
        <v>31</v>
      </c>
      <c r="G509" t="s">
        <v>44</v>
      </c>
      <c r="H509">
        <v>1</v>
      </c>
      <c r="I509">
        <v>2365.83</v>
      </c>
      <c r="J509">
        <v>2365.83</v>
      </c>
      <c r="K509" t="s">
        <v>26</v>
      </c>
      <c r="L509">
        <v>5</v>
      </c>
      <c r="M509" t="s">
        <v>550</v>
      </c>
    </row>
    <row r="510" spans="1:13">
      <c r="A510">
        <v>10509</v>
      </c>
      <c r="B510">
        <v>2197</v>
      </c>
      <c r="C510">
        <v>38</v>
      </c>
      <c r="D510" t="s">
        <v>19</v>
      </c>
      <c r="E510" t="s">
        <v>20</v>
      </c>
      <c r="F510" t="s">
        <v>38</v>
      </c>
      <c r="G510" t="s">
        <v>56</v>
      </c>
      <c r="H510">
        <v>5</v>
      </c>
      <c r="I510">
        <v>1091.8399999999999</v>
      </c>
      <c r="J510">
        <v>5459.2</v>
      </c>
      <c r="K510" t="s">
        <v>34</v>
      </c>
      <c r="L510">
        <v>5</v>
      </c>
      <c r="M510" t="s">
        <v>551</v>
      </c>
    </row>
    <row r="511" spans="1:13">
      <c r="A511">
        <v>10510</v>
      </c>
      <c r="B511">
        <v>4565</v>
      </c>
      <c r="C511">
        <v>53</v>
      </c>
      <c r="D511" t="s">
        <v>13</v>
      </c>
      <c r="E511" t="s">
        <v>30</v>
      </c>
      <c r="F511" t="s">
        <v>38</v>
      </c>
      <c r="G511" t="s">
        <v>60</v>
      </c>
      <c r="H511">
        <v>5</v>
      </c>
      <c r="I511">
        <v>2786.71</v>
      </c>
      <c r="J511">
        <v>13933.55</v>
      </c>
      <c r="K511" t="s">
        <v>34</v>
      </c>
      <c r="L511">
        <v>2</v>
      </c>
      <c r="M511" t="s">
        <v>552</v>
      </c>
    </row>
    <row r="512" spans="1:13">
      <c r="A512">
        <v>10511</v>
      </c>
      <c r="B512">
        <v>4055</v>
      </c>
      <c r="C512">
        <v>46</v>
      </c>
      <c r="D512" t="s">
        <v>19</v>
      </c>
      <c r="E512" t="s">
        <v>20</v>
      </c>
      <c r="F512" t="s">
        <v>38</v>
      </c>
      <c r="G512" t="s">
        <v>16</v>
      </c>
      <c r="H512">
        <v>1</v>
      </c>
      <c r="I512">
        <v>4029.38</v>
      </c>
      <c r="J512">
        <v>4029.38</v>
      </c>
      <c r="K512" t="s">
        <v>39</v>
      </c>
      <c r="L512">
        <v>2</v>
      </c>
      <c r="M512" t="s">
        <v>553</v>
      </c>
    </row>
    <row r="513" spans="1:13">
      <c r="A513">
        <v>10512</v>
      </c>
      <c r="B513">
        <v>3486</v>
      </c>
      <c r="C513">
        <v>46</v>
      </c>
      <c r="D513" t="s">
        <v>19</v>
      </c>
      <c r="E513" t="s">
        <v>53</v>
      </c>
      <c r="F513" t="s">
        <v>50</v>
      </c>
      <c r="G513" t="s">
        <v>32</v>
      </c>
      <c r="H513">
        <v>5</v>
      </c>
      <c r="I513">
        <v>468.63</v>
      </c>
      <c r="J513">
        <v>2343.15</v>
      </c>
      <c r="K513" t="s">
        <v>34</v>
      </c>
      <c r="L513">
        <v>3</v>
      </c>
      <c r="M513" t="s">
        <v>554</v>
      </c>
    </row>
    <row r="514" spans="1:13">
      <c r="A514">
        <v>10513</v>
      </c>
      <c r="B514">
        <v>4853</v>
      </c>
      <c r="C514">
        <v>22</v>
      </c>
      <c r="D514" t="s">
        <v>19</v>
      </c>
      <c r="E514" t="s">
        <v>20</v>
      </c>
      <c r="F514" t="s">
        <v>31</v>
      </c>
      <c r="G514" t="s">
        <v>44</v>
      </c>
      <c r="H514">
        <v>3</v>
      </c>
      <c r="I514">
        <v>1199.3900000000001</v>
      </c>
      <c r="J514">
        <v>3598.17</v>
      </c>
      <c r="K514" t="s">
        <v>39</v>
      </c>
      <c r="L514">
        <v>4</v>
      </c>
      <c r="M514" t="s">
        <v>555</v>
      </c>
    </row>
    <row r="515" spans="1:13">
      <c r="A515">
        <v>10514</v>
      </c>
      <c r="B515">
        <v>2873</v>
      </c>
      <c r="C515">
        <v>33</v>
      </c>
      <c r="D515" t="s">
        <v>13</v>
      </c>
      <c r="E515" t="s">
        <v>53</v>
      </c>
      <c r="F515" t="s">
        <v>50</v>
      </c>
      <c r="G515" t="s">
        <v>69</v>
      </c>
      <c r="H515">
        <v>2</v>
      </c>
      <c r="I515">
        <v>4894.04</v>
      </c>
      <c r="J515">
        <v>9788.08</v>
      </c>
      <c r="K515" t="s">
        <v>34</v>
      </c>
      <c r="L515">
        <v>3</v>
      </c>
      <c r="M515" t="s">
        <v>556</v>
      </c>
    </row>
    <row r="516" spans="1:13">
      <c r="A516">
        <v>10515</v>
      </c>
      <c r="B516">
        <v>2334</v>
      </c>
      <c r="C516">
        <v>29</v>
      </c>
      <c r="D516" t="s">
        <v>13</v>
      </c>
      <c r="E516" t="s">
        <v>43</v>
      </c>
      <c r="F516" t="s">
        <v>50</v>
      </c>
      <c r="G516" t="s">
        <v>28</v>
      </c>
      <c r="H516">
        <v>4</v>
      </c>
      <c r="I516">
        <v>4815.75</v>
      </c>
      <c r="J516">
        <v>19263</v>
      </c>
      <c r="K516" t="s">
        <v>26</v>
      </c>
      <c r="L516">
        <v>1</v>
      </c>
      <c r="M516" t="s">
        <v>557</v>
      </c>
    </row>
    <row r="517" spans="1:13">
      <c r="A517">
        <v>10516</v>
      </c>
      <c r="B517">
        <v>4587</v>
      </c>
      <c r="C517">
        <v>49</v>
      </c>
      <c r="D517" t="s">
        <v>19</v>
      </c>
      <c r="E517" t="s">
        <v>14</v>
      </c>
      <c r="F517" t="s">
        <v>24</v>
      </c>
      <c r="G517" t="s">
        <v>41</v>
      </c>
      <c r="H517">
        <v>1</v>
      </c>
      <c r="I517">
        <v>2915.98</v>
      </c>
      <c r="J517">
        <v>2915.98</v>
      </c>
      <c r="K517" t="s">
        <v>39</v>
      </c>
      <c r="L517">
        <v>1</v>
      </c>
      <c r="M517" t="s">
        <v>558</v>
      </c>
    </row>
    <row r="518" spans="1:13">
      <c r="A518">
        <v>10517</v>
      </c>
      <c r="B518">
        <v>2691</v>
      </c>
      <c r="C518">
        <v>54</v>
      </c>
      <c r="D518" t="s">
        <v>13</v>
      </c>
      <c r="E518" t="s">
        <v>30</v>
      </c>
      <c r="F518" t="s">
        <v>31</v>
      </c>
      <c r="G518" t="s">
        <v>60</v>
      </c>
      <c r="H518">
        <v>4</v>
      </c>
      <c r="I518">
        <v>3336.63</v>
      </c>
      <c r="J518">
        <v>13346.52</v>
      </c>
      <c r="K518" t="s">
        <v>26</v>
      </c>
      <c r="L518">
        <v>2</v>
      </c>
      <c r="M518" t="s">
        <v>559</v>
      </c>
    </row>
    <row r="519" spans="1:13">
      <c r="A519">
        <v>10518</v>
      </c>
      <c r="B519">
        <v>2939</v>
      </c>
      <c r="C519">
        <v>30</v>
      </c>
      <c r="D519" t="s">
        <v>13</v>
      </c>
      <c r="E519" t="s">
        <v>36</v>
      </c>
      <c r="F519" t="s">
        <v>50</v>
      </c>
      <c r="G519" t="s">
        <v>44</v>
      </c>
      <c r="H519">
        <v>4</v>
      </c>
      <c r="I519">
        <v>1578.84</v>
      </c>
      <c r="J519">
        <v>6315.36</v>
      </c>
      <c r="K519" t="s">
        <v>34</v>
      </c>
      <c r="L519">
        <v>4</v>
      </c>
      <c r="M519" t="s">
        <v>560</v>
      </c>
    </row>
    <row r="520" spans="1:13">
      <c r="A520">
        <v>10519</v>
      </c>
      <c r="B520">
        <v>2174</v>
      </c>
      <c r="C520">
        <v>56</v>
      </c>
      <c r="D520" t="s">
        <v>19</v>
      </c>
      <c r="E520" t="s">
        <v>14</v>
      </c>
      <c r="F520" t="s">
        <v>31</v>
      </c>
      <c r="G520" t="s">
        <v>44</v>
      </c>
      <c r="H520">
        <v>2</v>
      </c>
      <c r="I520">
        <v>4774.83</v>
      </c>
      <c r="J520">
        <v>9549.66</v>
      </c>
      <c r="K520" t="s">
        <v>26</v>
      </c>
      <c r="L520">
        <v>2</v>
      </c>
      <c r="M520" t="s">
        <v>561</v>
      </c>
    </row>
    <row r="521" spans="1:13">
      <c r="A521">
        <v>10520</v>
      </c>
      <c r="B521">
        <v>3033</v>
      </c>
      <c r="C521">
        <v>37</v>
      </c>
      <c r="D521" t="s">
        <v>19</v>
      </c>
      <c r="E521" t="s">
        <v>30</v>
      </c>
      <c r="F521" t="s">
        <v>50</v>
      </c>
      <c r="G521" t="s">
        <v>56</v>
      </c>
      <c r="H521">
        <v>4</v>
      </c>
      <c r="I521">
        <v>3447.94</v>
      </c>
      <c r="J521">
        <v>13791.76</v>
      </c>
      <c r="K521" t="s">
        <v>26</v>
      </c>
      <c r="L521">
        <v>2</v>
      </c>
      <c r="M521" t="s">
        <v>562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opLeftCell="A25" workbookViewId="0"/>
  </sheetViews>
  <sheetFormatPr defaultRowHeight="15"/>
  <sheetData>
    <row r="1" spans="1:2">
      <c r="A1" t="s">
        <v>563</v>
      </c>
      <c r="B1" t="s">
        <v>564</v>
      </c>
    </row>
    <row r="2" spans="1:2">
      <c r="A2" t="s">
        <v>21</v>
      </c>
      <c r="B2">
        <v>584856.81999999995</v>
      </c>
    </row>
    <row r="3" spans="1:2">
      <c r="A3" t="s">
        <v>24</v>
      </c>
      <c r="B3">
        <v>744461.19</v>
      </c>
    </row>
    <row r="4" spans="1:2">
      <c r="A4" t="s">
        <v>31</v>
      </c>
      <c r="B4">
        <v>791671.95</v>
      </c>
    </row>
    <row r="5" spans="1:2">
      <c r="A5" t="s">
        <v>38</v>
      </c>
      <c r="B5">
        <v>759099.75</v>
      </c>
    </row>
    <row r="6" spans="1:2">
      <c r="A6" t="s">
        <v>15</v>
      </c>
      <c r="B6">
        <v>495318.92</v>
      </c>
    </row>
    <row r="7" spans="1:2">
      <c r="A7" t="s">
        <v>50</v>
      </c>
      <c r="B7">
        <v>548763.11</v>
      </c>
    </row>
    <row r="10" spans="1:2">
      <c r="A10" t="s">
        <v>565</v>
      </c>
      <c r="B10" t="s">
        <v>566</v>
      </c>
    </row>
    <row r="11" spans="1:2">
      <c r="A11">
        <v>1</v>
      </c>
      <c r="B11">
        <v>299233.64</v>
      </c>
    </row>
    <row r="12" spans="1:2">
      <c r="A12">
        <v>2</v>
      </c>
      <c r="B12">
        <v>339132.82</v>
      </c>
    </row>
    <row r="13" spans="1:2">
      <c r="A13">
        <v>3</v>
      </c>
      <c r="B13">
        <v>303197.34999999998</v>
      </c>
    </row>
    <row r="14" spans="1:2">
      <c r="A14">
        <v>4</v>
      </c>
      <c r="B14">
        <v>338927.45</v>
      </c>
    </row>
    <row r="15" spans="1:2">
      <c r="A15">
        <v>5</v>
      </c>
      <c r="B15">
        <v>352083.64</v>
      </c>
    </row>
    <row r="16" spans="1:2">
      <c r="A16">
        <v>6</v>
      </c>
      <c r="B16">
        <v>311095.07</v>
      </c>
    </row>
    <row r="17" spans="1:2">
      <c r="A17">
        <v>7</v>
      </c>
      <c r="B17">
        <v>313868.2</v>
      </c>
    </row>
    <row r="18" spans="1:2">
      <c r="A18">
        <v>8</v>
      </c>
      <c r="B18">
        <v>317365.06</v>
      </c>
    </row>
    <row r="19" spans="1:2">
      <c r="A19">
        <v>9</v>
      </c>
      <c r="B19">
        <v>333063.51</v>
      </c>
    </row>
    <row r="20" spans="1:2">
      <c r="A20">
        <v>10</v>
      </c>
      <c r="B20">
        <v>321800.34999999998</v>
      </c>
    </row>
    <row r="21" spans="1:2">
      <c r="A21">
        <v>11</v>
      </c>
      <c r="B21">
        <v>312417.73</v>
      </c>
    </row>
    <row r="22" spans="1:2">
      <c r="A22">
        <v>12</v>
      </c>
      <c r="B22">
        <v>381986.92</v>
      </c>
    </row>
    <row r="26" spans="1:2">
      <c r="A26" t="s">
        <v>4</v>
      </c>
      <c r="B26" t="s">
        <v>566</v>
      </c>
    </row>
    <row r="27" spans="1:2">
      <c r="A27" t="s">
        <v>55</v>
      </c>
      <c r="B27">
        <v>543325.91</v>
      </c>
    </row>
    <row r="28" spans="1:2">
      <c r="A28" t="s">
        <v>20</v>
      </c>
      <c r="B28">
        <v>504240.49</v>
      </c>
    </row>
    <row r="29" spans="1:2">
      <c r="A29" t="s">
        <v>14</v>
      </c>
      <c r="B29">
        <v>526809.80999999994</v>
      </c>
    </row>
    <row r="30" spans="1:2">
      <c r="A30" t="s">
        <v>36</v>
      </c>
      <c r="B30">
        <v>546823.97</v>
      </c>
    </row>
    <row r="31" spans="1:2">
      <c r="A31" t="s">
        <v>30</v>
      </c>
      <c r="B31">
        <v>677267.55</v>
      </c>
    </row>
    <row r="32" spans="1:2">
      <c r="A32" t="s">
        <v>43</v>
      </c>
      <c r="B32">
        <v>603741.18999999994</v>
      </c>
    </row>
    <row r="33" spans="1:2">
      <c r="A33" t="s">
        <v>53</v>
      </c>
      <c r="B33">
        <v>521962.82</v>
      </c>
    </row>
    <row r="37" spans="1:2">
      <c r="A37" t="s">
        <v>567</v>
      </c>
      <c r="B37" t="s">
        <v>564</v>
      </c>
    </row>
    <row r="38" spans="1:2">
      <c r="A38" t="s">
        <v>28</v>
      </c>
      <c r="B38">
        <v>533284.46</v>
      </c>
    </row>
    <row r="39" spans="1:2">
      <c r="A39" t="s">
        <v>32</v>
      </c>
      <c r="B39">
        <v>460371.59</v>
      </c>
    </row>
    <row r="40" spans="1:2">
      <c r="A40" t="s">
        <v>44</v>
      </c>
      <c r="B40">
        <v>432618.81</v>
      </c>
    </row>
    <row r="41" spans="1:2">
      <c r="A41" t="s">
        <v>16</v>
      </c>
      <c r="B41">
        <v>402982.59</v>
      </c>
    </row>
    <row r="42" spans="1:2">
      <c r="A42" t="s">
        <v>62</v>
      </c>
      <c r="B42">
        <v>388431.39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4FE0-B25A-4E15-8B33-3AC5E8DA171B}">
  <dimension ref="A1:D7"/>
  <sheetViews>
    <sheetView tabSelected="1" workbookViewId="0">
      <selection activeCell="D8" sqref="D8"/>
    </sheetView>
  </sheetViews>
  <sheetFormatPr defaultRowHeight="15"/>
  <cols>
    <col min="1" max="1" width="9.7109375" bestFit="1" customWidth="1"/>
    <col min="2" max="2" width="13.42578125" bestFit="1" customWidth="1"/>
  </cols>
  <sheetData>
    <row r="1" spans="1:4">
      <c r="A1" t="s">
        <v>568</v>
      </c>
      <c r="B1" t="s">
        <v>9</v>
      </c>
      <c r="C1" t="s">
        <v>7</v>
      </c>
      <c r="D1" t="s">
        <v>11</v>
      </c>
    </row>
    <row r="2" spans="1:4">
      <c r="A2" t="s">
        <v>569</v>
      </c>
      <c r="B2">
        <f>AVERAGE(Data!J2:J1000)</f>
        <v>7546.48411538461</v>
      </c>
      <c r="C2">
        <f>AVERAGE(Data!H2:H1000)</f>
        <v>2.9653846153846155</v>
      </c>
      <c r="D2">
        <v>3.06</v>
      </c>
    </row>
    <row r="3" spans="1:4">
      <c r="A3" t="s">
        <v>570</v>
      </c>
      <c r="B3">
        <f>MEDIAN(Data!J2:J1000)</f>
        <v>5845.8150000000005</v>
      </c>
      <c r="C3">
        <f>MEDIAN(Data!H2:H1000)</f>
        <v>3</v>
      </c>
      <c r="D3">
        <v>3</v>
      </c>
    </row>
    <row r="4" spans="1:4">
      <c r="A4" t="s">
        <v>571</v>
      </c>
      <c r="B4">
        <f>MIN(Data!J2:J1000)</f>
        <v>353.93</v>
      </c>
      <c r="C4">
        <f>MIN(Data!H2:H1000)</f>
        <v>1</v>
      </c>
      <c r="D4">
        <v>1</v>
      </c>
    </row>
    <row r="5" spans="1:4">
      <c r="A5" t="s">
        <v>572</v>
      </c>
      <c r="B5">
        <f>MAX(Data!J2:J1000)</f>
        <v>24997.1</v>
      </c>
      <c r="C5">
        <f>MAX(Data!H2:H1000)</f>
        <v>5</v>
      </c>
      <c r="D5">
        <v>5</v>
      </c>
    </row>
    <row r="6" spans="1:4">
      <c r="A6" t="s">
        <v>573</v>
      </c>
      <c r="B6">
        <f>_xlfn.STDEV.P(Data!J2:J1000)</f>
        <v>5526.6008663985995</v>
      </c>
      <c r="C6">
        <f>_xlfn.STDEV.P(Data!H2:H1000)</f>
        <v>1.3709744731092406</v>
      </c>
      <c r="D6">
        <v>1.42</v>
      </c>
    </row>
    <row r="7" spans="1:4">
      <c r="A7" t="s">
        <v>574</v>
      </c>
      <c r="B7">
        <f>COUNT(Data!J2:J1000)</f>
        <v>520</v>
      </c>
      <c r="C7">
        <f>COUNT(Data!H2:H1000)</f>
        <v>520</v>
      </c>
      <c r="D7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2026-03-19T06:59:09Z</dcterms:created>
  <dcterms:modified xsi:type="dcterms:W3CDTF">2026-03-19T08:30:23Z</dcterms:modified>
  <cp:category/>
  <cp:contentStatus/>
</cp:coreProperties>
</file>